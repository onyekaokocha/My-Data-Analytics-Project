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okoja\Documents\"/>
    </mc:Choice>
  </mc:AlternateContent>
  <xr:revisionPtr revIDLastSave="0" documentId="13_ncr:1_{7275EABF-ACDB-42C4-B365-BFD4D5C9A2FB}"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Sales" sheetId="18" r:id="rId2"/>
    <sheet name="CountryBar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 name="TotalSales" localSheetId="2">CountryBarChart!$A$3</definedName>
    <definedName name="TotalSales" localSheetId="3">'Top 5 Customers'!$A$3</definedName>
    <definedName name="TotalSales">TotalSales!$A$3</definedName>
  </definedNames>
  <calcPr calcId="191028"/>
  <pivotCaches>
    <pivotCache cacheId="2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7" i="17"/>
  <c r="I2" i="17"/>
  <c r="N2" i="17" s="1"/>
  <c r="J2" i="17"/>
  <c r="O2" i="17" s="1"/>
  <c r="K2" i="17"/>
  <c r="L2" i="17"/>
  <c r="M2" i="17"/>
  <c r="M3" i="17"/>
  <c r="M17" i="17"/>
  <c r="M27" i="17"/>
  <c r="M32" i="17"/>
  <c r="M64" i="17"/>
  <c r="M67" i="17"/>
  <c r="M88" i="17"/>
  <c r="M100" i="17"/>
  <c r="M113" i="17"/>
  <c r="M115" i="17"/>
  <c r="M116" i="17"/>
  <c r="M137" i="17"/>
  <c r="M140" i="17"/>
  <c r="M160" i="17"/>
  <c r="M164" i="17"/>
  <c r="M177" i="17"/>
  <c r="M185" i="17"/>
  <c r="M187" i="17"/>
  <c r="M209" i="17"/>
  <c r="M225" i="17"/>
  <c r="M273" i="17"/>
  <c r="M275" i="17"/>
  <c r="M336" i="17"/>
  <c r="M345" i="17"/>
  <c r="M368" i="17"/>
  <c r="M372" i="17"/>
  <c r="M418" i="17"/>
  <c r="M464" i="17"/>
  <c r="M468" i="17"/>
  <c r="M505" i="17"/>
  <c r="M539" i="17"/>
  <c r="M592" i="17"/>
  <c r="M601" i="17"/>
  <c r="M649" i="17"/>
  <c r="M664" i="17"/>
  <c r="M705" i="17"/>
  <c r="M706" i="17"/>
  <c r="M730" i="17"/>
  <c r="M769" i="17"/>
  <c r="M770" i="17"/>
  <c r="M796" i="17"/>
  <c r="M833" i="17"/>
  <c r="M834" i="17"/>
  <c r="M859" i="17"/>
  <c r="M863" i="17"/>
  <c r="M876" i="17"/>
  <c r="M881" i="17"/>
  <c r="M900" i="17"/>
  <c r="M903" i="17"/>
  <c r="M923" i="17"/>
  <c r="M928" i="17"/>
  <c r="M943" i="17"/>
  <c r="M944" i="17"/>
  <c r="M967" i="17"/>
  <c r="M968" i="17"/>
  <c r="M992" i="17"/>
  <c r="L3" i="17"/>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L18" i="17"/>
  <c r="M18" i="17" s="1"/>
  <c r="L19" i="17"/>
  <c r="M19" i="17" s="1"/>
  <c r="L20" i="17"/>
  <c r="M20" i="17" s="1"/>
  <c r="L21" i="17"/>
  <c r="M21" i="17" s="1"/>
  <c r="L22" i="17"/>
  <c r="M22" i="17" s="1"/>
  <c r="L23" i="17"/>
  <c r="M23" i="17" s="1"/>
  <c r="L24" i="17"/>
  <c r="M24" i="17" s="1"/>
  <c r="L25" i="17"/>
  <c r="M25" i="17" s="1"/>
  <c r="L26" i="17"/>
  <c r="M26" i="17" s="1"/>
  <c r="L27" i="17"/>
  <c r="L28" i="17"/>
  <c r="M28" i="17" s="1"/>
  <c r="L29" i="17"/>
  <c r="M29" i="17" s="1"/>
  <c r="L30" i="17"/>
  <c r="M30" i="17" s="1"/>
  <c r="L31" i="17"/>
  <c r="M31" i="17" s="1"/>
  <c r="L32" i="17"/>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L65" i="17"/>
  <c r="M65" i="17" s="1"/>
  <c r="L66" i="17"/>
  <c r="M66" i="17" s="1"/>
  <c r="L67" i="17"/>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L114" i="17"/>
  <c r="M114" i="17" s="1"/>
  <c r="L115" i="17"/>
  <c r="L116" i="17"/>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L138" i="17"/>
  <c r="M138" i="17" s="1"/>
  <c r="L139" i="17"/>
  <c r="M139" i="17" s="1"/>
  <c r="L140" i="17"/>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L161" i="17"/>
  <c r="M161" i="17" s="1"/>
  <c r="L162" i="17"/>
  <c r="M162" i="17" s="1"/>
  <c r="L163" i="17"/>
  <c r="M163" i="17" s="1"/>
  <c r="L164" i="17"/>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L178" i="17"/>
  <c r="M178" i="17" s="1"/>
  <c r="L179" i="17"/>
  <c r="M179" i="17" s="1"/>
  <c r="L180" i="17"/>
  <c r="M180" i="17" s="1"/>
  <c r="L181" i="17"/>
  <c r="M181" i="17" s="1"/>
  <c r="L182" i="17"/>
  <c r="M182" i="17" s="1"/>
  <c r="L183" i="17"/>
  <c r="M183" i="17" s="1"/>
  <c r="L184" i="17"/>
  <c r="M184" i="17" s="1"/>
  <c r="L185" i="17"/>
  <c r="L186" i="17"/>
  <c r="M186" i="17" s="1"/>
  <c r="L187" i="17"/>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L274" i="17"/>
  <c r="M274" i="17" s="1"/>
  <c r="L275" i="17"/>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L337" i="17"/>
  <c r="M337" i="17" s="1"/>
  <c r="L338" i="17"/>
  <c r="M338" i="17" s="1"/>
  <c r="L339" i="17"/>
  <c r="M339" i="17" s="1"/>
  <c r="L340" i="17"/>
  <c r="M340" i="17" s="1"/>
  <c r="L341" i="17"/>
  <c r="M341" i="17" s="1"/>
  <c r="L342" i="17"/>
  <c r="M342" i="17" s="1"/>
  <c r="L343" i="17"/>
  <c r="M343" i="17" s="1"/>
  <c r="L344" i="17"/>
  <c r="M344" i="17" s="1"/>
  <c r="L345" i="17"/>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L369" i="17"/>
  <c r="M369" i="17" s="1"/>
  <c r="L370" i="17"/>
  <c r="M370" i="17" s="1"/>
  <c r="L371" i="17"/>
  <c r="M371" i="17" s="1"/>
  <c r="L372" i="17"/>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L465" i="17"/>
  <c r="M465" i="17" s="1"/>
  <c r="L466" i="17"/>
  <c r="M466" i="17" s="1"/>
  <c r="L467" i="17"/>
  <c r="M467" i="17" s="1"/>
  <c r="L468" i="17"/>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L593" i="17"/>
  <c r="M593" i="17" s="1"/>
  <c r="L594" i="17"/>
  <c r="M594" i="17" s="1"/>
  <c r="L595" i="17"/>
  <c r="M595" i="17" s="1"/>
  <c r="L596" i="17"/>
  <c r="M596" i="17" s="1"/>
  <c r="L597" i="17"/>
  <c r="M597" i="17" s="1"/>
  <c r="L598" i="17"/>
  <c r="M598" i="17" s="1"/>
  <c r="L599" i="17"/>
  <c r="M599" i="17" s="1"/>
  <c r="L600" i="17"/>
  <c r="M600" i="17" s="1"/>
  <c r="L601" i="17"/>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L706" i="17"/>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L770" i="17"/>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L834" i="17"/>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L860" i="17"/>
  <c r="M860" i="17" s="1"/>
  <c r="L861" i="17"/>
  <c r="M861" i="17" s="1"/>
  <c r="L862" i="17"/>
  <c r="M862" i="17" s="1"/>
  <c r="L863" i="17"/>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L877" i="17"/>
  <c r="M877" i="17" s="1"/>
  <c r="L878" i="17"/>
  <c r="M878" i="17" s="1"/>
  <c r="L879" i="17"/>
  <c r="M879" i="17" s="1"/>
  <c r="L880" i="17"/>
  <c r="M880" i="17" s="1"/>
  <c r="L881" i="17"/>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L901" i="17"/>
  <c r="M901" i="17" s="1"/>
  <c r="L902" i="17"/>
  <c r="M902" i="17" s="1"/>
  <c r="L903" i="17"/>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L924" i="17"/>
  <c r="M924" i="17" s="1"/>
  <c r="L925" i="17"/>
  <c r="M925" i="17" s="1"/>
  <c r="L926" i="17"/>
  <c r="M926" i="17" s="1"/>
  <c r="L927" i="17"/>
  <c r="M927" i="17" s="1"/>
  <c r="L928" i="17"/>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L944" i="17"/>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L968" i="17"/>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<sst xmlns="http://schemas.openxmlformats.org/spreadsheetml/2006/main" count="11128" uniqueCount="6216">
  <si>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</si>
  <si>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</si>
  <si>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</si>
  <si>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</si>
  <si>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</si>
  <si>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</si>
  <si>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</si>
  <si>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</si>
  <si>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</si>
  <si>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</si>
  <si>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</si>
  <si>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</si>
  <si>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</si>
  <si>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</si>
  <si>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</si>
  <si>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</si>
  <si>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</si>
  <si>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</si>
  <si>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</si>
  <si>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</si>
  <si>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</si>
  <si>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</si>
  <si>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</si>
  <si>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</si>
  <si>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</si>
  <si>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</si>
  <si>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</si>
  <si>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</si>
  <si>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</si>
  <si>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</si>
  <si>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</si>
  <si>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</si>
  <si>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</si>
  <si>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</si>
  <si>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</si>
  <si>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</si>
  <si>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</si>
  <si>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</si>
  <si>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</si>
  <si>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</si>
  <si>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</si>
  <si>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</si>
  <si>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</si>
  <si>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</si>
  <si>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</si>
  <si>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</si>
  <si>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</si>
  <si>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</si>
  <si>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</si>
  <si>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</si>
  <si>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</si>
  <si>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</si>
  <si>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</si>
  <si>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</si>
  <si>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</si>
  <si>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</si>
  <si>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</si>
  <si>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</si>
  <si>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</si>
  <si>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</si>
  <si>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</si>
  <si>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</si>
  <si>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</si>
  <si>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</si>
  <si>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</si>
  <si>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</si>
  <si>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</si>
  <si>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</si>
  <si>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</si>
  <si>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</si>
  <si>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</si>
  <si>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</si>
  <si>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</si>
  <si>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</si>
  <si>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</si>
  <si>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</si>
  <si>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</si>
  <si>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</si>
  <si>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</si>
  <si>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</si>
  <si>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</si>
  <si>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</si>
  <si>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</si>
  <si>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</si>
  <si>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</si>
  <si>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</si>
  <si>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</si>
  <si>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</si>
  <si>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</si>
  <si>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</si>
  <si>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</si>
  <si>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</si>
  <si>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</si>
  <si>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</si>
  <si>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</si>
  <si>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</si>
  <si>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</si>
  <si>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</si>
  <si>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</si>
  <si>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</si>
  <si>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</si>
  <si>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</si>
  <si>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</si>
  <si>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</si>
  <si>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</si>
  <si>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</si>
  <si>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</si>
  <si>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</si>
  <si>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</si>
  <si>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</si>
  <si>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</si>
  <si>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</si>
  <si>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</si>
  <si>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</si>
  <si>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</si>
  <si>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</si>
  <si>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</si>
  <si>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</si>
  <si>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</si>
  <si>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</si>
  <si>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</si>
  <si>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</si>
  <si>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</si>
  <si>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</si>
  <si>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</si>
  <si>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</si>
  <si>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</si>
  <si>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</si>
  <si>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</si>
  <si>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</si>
  <si>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</si>
  <si>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</si>
  <si>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</si>
  <si>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</si>
  <si>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</si>
  <si>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</si>
  <si>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</si>
  <si>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</si>
  <si>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</si>
  <si>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</si>
  <si>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</si>
  <si>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</si>
  <si>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</si>
  <si>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</si>
  <si>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</si>
  <si>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</si>
  <si>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</si>
  <si>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</si>
  <si>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</si>
  <si>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</si>
  <si>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</si>
  <si>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</si>
  <si>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</si>
  <si>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</si>
  <si>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</si>
  <si>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</si>
  <si>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</si>
  <si>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</si>
  <si>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</si>
  <si>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</si>
  <si>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</si>
  <si>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</si>
  <si>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</si>
  <si>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</si>
  <si>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</si>
  <si>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</si>
  <si>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</si>
  <si>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</si>
  <si>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</si>
  <si>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</si>
  <si>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</si>
  <si>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</si>
  <si>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</si>
  <si>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</si>
  <si>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</si>
  <si>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</si>
  <si>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</si>
  <si>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</si>
  <si>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</si>
  <si>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</si>
  <si>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</si>
  <si>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</si>
  <si>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</si>
  <si>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</si>
  <si>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</si>
  <si>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</si>
  <si>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</si>
  <si>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</si>
  <si>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</si>
  <si>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</si>
  <si>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</si>
  <si>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</si>
  <si>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</si>
  <si>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</si>
  <si>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</si>
  <si>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</si>
  <si>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</si>
  <si>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</si>
  <si>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</si>
  <si>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</si>
  <si>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</si>
  <si>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</si>
  <si>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</si>
  <si>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</si>
  <si>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</si>
  <si>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</si>
  <si>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</si>
  <si>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</si>
  <si>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</si>
  <si>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</si>
  <si>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</si>
  <si>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</si>
  <si>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</si>
  <si>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</si>
  <si>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</si>
  <si>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</si>
  <si>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</si>
  <si>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</si>
  <si>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</si>
  <si>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</si>
  <si>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</si>
  <si>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</si>
  <si>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</si>
  <si>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</si>
  <si>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</si>
  <si>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</si>
  <si>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</si>
  <si>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</si>
  <si>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</si>
  <si>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</si>
  <si>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</si>
  <si>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</si>
  <si>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</si>
  <si>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</si>
  <si>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</si>
  <si>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</si>
  <si>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</si>
  <si>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</si>
  <si>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</si>
  <si>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</si>
  <si>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</si>
  <si>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</si>
  <si>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</si>
  <si>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</si>
  <si>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</si>
  <si>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</si>
  <si>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</si>
  <si>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</si>
  <si>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</si>
  <si>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</si>
  <si>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</si>
  <si>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</si>
  <si>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</si>
  <si>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</si>
  <si>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</si>
  <si>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</si>
  <si>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</si>
  <si>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</si>
  <si>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</si>
  <si>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</si>
  <si>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</si>
  <si>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</si>
  <si>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</si>
  <si>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</si>
  <si>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</si>
  <si>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</si>
  <si>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</si>
  <si>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</si>
  <si>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</si>
  <si>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</si>
  <si>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</si>
  <si>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</si>
  <si>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</si>
  <si>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</si>
  <si>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</si>
  <si>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</si>
  <si>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</si>
  <si>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</si>
  <si>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</si>
  <si>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</si>
  <si>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</si>
  <si>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</si>
  <si>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</si>
  <si>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</si>
  <si>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</si>
  <si>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</si>
  <si>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</si>
  <si>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</si>
  <si>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</si>
  <si>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</si>
  <si>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</si>
  <si>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</si>
  <si>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</si>
  <si>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</si>
  <si>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</si>
  <si>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</si>
  <si>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</si>
  <si>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</si>
  <si>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</si>
  <si>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</si>
  <si>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</si>
  <si>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</si>
  <si>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</si>
  <si>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</si>
  <si>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</si>
  <si>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</si>
  <si>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</si>
  <si>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</si>
  <si>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</si>
  <si>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</si>
  <si>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</si>
  <si>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</si>
  <si>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</si>
  <si>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</si>
  <si>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</si>
  <si>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</si>
  <si>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</si>
  <si>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</si>
  <si>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</si>
  <si>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</si>
  <si>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</si>
  <si>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</si>
  <si>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</si>
  <si>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</si>
  <si>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</si>
  <si>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</si>
  <si>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</si>
  <si>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</si>
  <si>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</si>
  <si>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</si>
  <si>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</si>
  <si>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</si>
  <si>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</si>
  <si>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</si>
  <si>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</si>
  <si>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</si>
  <si>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</si>
  <si>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</si>
  <si>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</si>
  <si>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</si>
  <si>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</si>
  <si>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</si>
  <si>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</si>
  <si>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</si>
  <si>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</si>
  <si>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</si>
  <si>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</si>
  <si>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</si>
  <si>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</si>
  <si>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</si>
  <si>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</si>
  <si>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</si>
  <si>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</si>
  <si>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</si>
  <si>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</si>
  <si>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</si>
  <si>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</si>
  <si>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</si>
  <si>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</si>
  <si>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</si>
  <si>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</si>
  <si>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</si>
  <si>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</si>
  <si>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</si>
  <si>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</si>
  <si>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</si>
  <si>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</si>
  <si>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</si>
  <si>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</si>
  <si>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</si>
  <si>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</si>
  <si>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</si>
  <si>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</si>
  <si>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</si>
  <si>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</si>
  <si>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</si>
  <si>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</si>
  <si>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</si>
  <si>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</si>
  <si>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</si>
  <si>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</si>
  <si>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</si>
  <si>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</si>
  <si>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</si>
  <si>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</si>
  <si>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</si>
  <si>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</si>
  <si>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</si>
  <si>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</si>
  <si>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</si>
  <si>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</si>
  <si>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</si>
  <si>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</si>
  <si>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</si>
  <si>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</si>
  <si>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</si>
  <si>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</si>
  <si>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</si>
  <si>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</si>
  <si>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</si>
  <si>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</si>
  <si>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</si>
  <si>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</si>
  <si>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</si>
  <si>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</si>
  <si>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</si>
  <si>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</si>
  <si>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</si>
  <si>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</si>
  <si>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</si>
  <si>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</si>
  <si>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</si>
  <si>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</si>
  <si>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</si>
  <si>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</si>
  <si>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</si>
  <si>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</si>
  <si>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</si>
  <si>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</si>
  <si>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</si>
  <si>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</si>
  <si>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</si>
  <si>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</si>
  <si>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</si>
  <si>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</si>
  <si>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</si>
  <si>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</si>
  <si>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</si>
  <si>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</si>
  <si>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</si>
  <si>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</si>
  <si>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</si>
  <si>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</si>
  <si>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</si>
  <si>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</si>
  <si>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</si>
  <si>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</si>
  <si>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</si>
  <si>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</si>
  <si>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</si>
  <si>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</si>
  <si>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</si>
  <si>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</si>
  <si>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</si>
  <si>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</si>
  <si>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</si>
  <si>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</si>
  <si>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</si>
  <si>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</si>
  <si>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</si>
  <si>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</si>
  <si>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</si>
  <si>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</si>
  <si>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</si>
  <si>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</si>
  <si>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</si>
  <si>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</si>
  <si>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</si>
  <si>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</si>
  <si>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</si>
  <si>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</si>
  <si>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</si>
  <si>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</si>
  <si>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</si>
  <si>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</si>
  <si>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</si>
  <si>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</si>
  <si>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</si>
  <si>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</si>
  <si>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</si>
  <si>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</si>
  <si>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</si>
  <si>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</si>
  <si>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</si>
  <si>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</si>
  <si>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</si>
  <si>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</si>
  <si>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</si>
  <si>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</si>
  <si>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</si>
  <si>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</si>
  <si>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</si>
  <si>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</si>
  <si>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</si>
  <si>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</si>
  <si>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</si>
  <si>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</si>
  <si>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</si>
  <si>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</si>
  <si>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</si>
  <si>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</si>
  <si>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</si>
  <si>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</si>
  <si>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</si>
  <si>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</si>
  <si>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</si>
  <si>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</si>
  <si>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</si>
  <si>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</si>
  <si>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</si>
  <si>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</si>
  <si>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</si>
  <si>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</si>
  <si>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</si>
  <si>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</si>
  <si>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</si>
  <si>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</si>
  <si>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</si>
  <si>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</si>
  <si>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</si>
  <si>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</si>
  <si>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</si>
  <si>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</si>
  <si>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</si>
  <si>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</si>
  <si>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</si>
  <si>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</si>
  <si>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</si>
  <si>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</si>
  <si>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</si>
  <si>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</si>
  <si>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</si>
  <si>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</si>
  <si>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</si>
  <si>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</si>
  <si>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</si>
  <si>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</si>
  <si>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</si>
  <si>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</si>
  <si>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</si>
  <si>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</si>
  <si>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</si>
  <si>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</si>
  <si>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</si>
  <si>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</si>
  <si>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</si>
  <si>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</si>
  <si>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</si>
  <si>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</si>
  <si>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</si>
  <si>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</si>
  <si>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</si>
  <si>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</si>
  <si>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</si>
  <si>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</si>
  <si>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</si>
  <si>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</si>
  <si>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</si>
  <si>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</si>
  <si>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</si>
  <si>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</si>
  <si>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</si>
  <si>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</si>
  <si>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</si>
  <si>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</si>
  <si>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</si>
  <si>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</si>
  <si>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</si>
  <si>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</si>
  <si>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</si>
  <si>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</si>
  <si>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</si>
  <si>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</si>
  <si>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</si>
  <si>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</si>
  <si>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</si>
  <si>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</si>
  <si>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</si>
  <si>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</si>
  <si>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</si>
  <si>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</si>
  <si>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</si>
  <si>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</si>
  <si>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</si>
  <si>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</si>
  <si>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</si>
  <si>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</si>
  <si>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</si>
  <si>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</si>
  <si>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</si>
  <si>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</si>
  <si>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</si>
  <si>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</si>
  <si>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</si>
  <si>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</si>
  <si>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</si>
  <si>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</si>
  <si>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</si>
  <si>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</si>
  <si>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</si>
  <si>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</si>
  <si>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</si>
  <si>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</si>
  <si>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</si>
  <si>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</si>
  <si>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</si>
  <si>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</si>
  <si>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</si>
  <si>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</si>
  <si>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</si>
  <si>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</si>
  <si>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</si>
  <si>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</si>
  <si>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</si>
  <si>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</si>
  <si>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</si>
  <si>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</si>
  <si>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</si>
  <si>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</si>
  <si>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</si>
  <si>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</si>
  <si>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</si>
  <si>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</si>
  <si>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</si>
  <si>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</si>
  <si>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</si>
  <si>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</si>
  <si>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</si>
  <si>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</si>
  <si>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</si>
  <si>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</si>
  <si>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</si>
  <si>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</si>
  <si>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</si>
  <si>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</si>
  <si>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</si>
  <si>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</si>
  <si>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</si>
  <si>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</si>
  <si>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</si>
  <si>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</si>
  <si>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</si>
  <si>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</si>
  <si>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</si>
  <si>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</si>
  <si>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</si>
  <si>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</si>
  <si>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</si>
  <si>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</si>
  <si>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</si>
  <si>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</si>
  <si>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</si>
  <si>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</si>
  <si>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</si>
  <si>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</si>
  <si>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</si>
  <si>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</si>
  <si>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</si>
  <si>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</si>
  <si>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</si>
  <si>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</si>
  <si>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</si>
  <si>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</si>
  <si>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</si>
  <si>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</si>
  <si>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</si>
  <si>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</si>
  <si>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</si>
  <si>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</si>
  <si>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</si>
  <si>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</si>
  <si>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</si>
  <si>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</si>
  <si>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</si>
  <si>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</si>
  <si>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</si>
  <si>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</si>
  <si>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</si>
  <si>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</si>
  <si>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</si>
  <si>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</si>
  <si>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</si>
  <si>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</si>
  <si>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</si>
  <si>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</si>
  <si>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</si>
  <si>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</si>
  <si>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</si>
  <si>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</si>
  <si>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</si>
  <si>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</si>
  <si>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</si>
  <si>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</si>
  <si>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</si>
  <si>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</si>
  <si>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</si>
  <si>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</si>
  <si>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</si>
  <si>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</si>
  <si>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</si>
  <si>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</si>
  <si>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</si>
  <si>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</si>
  <si>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</si>
  <si>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</si>
  <si>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</si>
  <si>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</si>
  <si>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</si>
  <si>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</si>
  <si>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</si>
  <si>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</si>
  <si>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</si>
  <si>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</si>
  <si>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</si>
  <si>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</si>
  <si>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</si>
  <si>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</si>
  <si>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</si>
  <si>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</si>
  <si>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</si>
  <si>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</si>
  <si>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</si>
  <si>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</si>
  <si>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</si>
  <si>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</si>
  <si>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</si>
  <si>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</si>
  <si>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</si>
  <si>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</si>
  <si>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</si>
  <si>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</si>
  <si>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</si>
  <si>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</si>
  <si>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</si>
  <si>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</si>
  <si>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</si>
  <si>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</si>
  <si>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</si>
  <si>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</si>
  <si>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</si>
  <si>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</si>
  <si>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</si>
  <si>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</si>
  <si>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</si>
  <si>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</si>
  <si>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</si>
  <si>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</si>
  <si>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</si>
  <si>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</si>
  <si>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</si>
  <si>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</si>
  <si>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</si>
  <si>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</si>
  <si>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</si>
  <si>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</si>
  <si>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</si>
  <si>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</si>
  <si>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</si>
  <si>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</si>
  <si>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</si>
  <si>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</si>
  <si>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</si>
  <si>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</si>
  <si>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</si>
  <si>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</si>
  <si>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</si>
  <si>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</si>
  <si>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</si>
  <si>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</si>
  <si>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</si>
  <si>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</si>
  <si>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</si>
  <si>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</si>
  <si>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</si>
  <si>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</si>
  <si>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</si>
  <si>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</si>
  <si>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</si>
  <si>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</si>
  <si>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</si>
  <si>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</si>
  <si>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</si>
  <si>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</si>
  <si>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</si>
  <si>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</si>
  <si>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</si>
  <si>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</si>
  <si>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</si>
  <si>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</si>
  <si>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</si>
  <si>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</si>
  <si>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</si>
  <si>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</si>
  <si>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</si>
  <si>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</si>
  <si>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</si>
  <si>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</si>
  <si>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</si>
  <si>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</si>
  <si>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</si>
  <si>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</si>
  <si>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</si>
  <si>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</si>
  <si>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</si>
  <si>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</si>
  <si>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</si>
  <si>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</si>
  <si>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</si>
  <si>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</si>
  <si>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</si>
  <si>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</si>
  <si>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</si>
  <si>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</si>
  <si>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</si>
  <si>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</si>
  <si>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</si>
  <si>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</si>
  <si>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</si>
  <si>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</si>
  <si>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</si>
  <si>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</si>
  <si>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</si>
  <si>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</si>
  <si>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</si>
  <si>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</si>
  <si>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</si>
  <si>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</si>
  <si>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</si>
  <si>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</si>
  <si>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</si>
  <si>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</si>
  <si>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</si>
  <si>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</si>
  <si>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</si>
  <si>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</si>
  <si>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</si>
  <si>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</si>
  <si>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</si>
  <si>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</si>
  <si>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</si>
  <si>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</si>
  <si>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</si>
  <si>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</si>
  <si>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</si>
  <si>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</si>
  <si>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</si>
  <si>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</si>
  <si>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</si>
  <si>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</si>
  <si>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</si>
  <si>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</si>
  <si>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</si>
  <si>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</si>
  <si>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</si>
  <si>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</si>
  <si>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</si>
  <si>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</si>
  <si>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</si>
  <si>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</si>
  <si>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</si>
  <si>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</si>
  <si>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</si>
  <si>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</si>
  <si>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</si>
  <si>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</si>
  <si>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</si>
  <si>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</si>
  <si>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</si>
  <si>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</si>
  <si>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</si>
  <si>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</si>
  <si>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</si>
  <si>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</si>
  <si>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</si>
  <si>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</si>
  <si>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</si>
  <si>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</si>
  <si>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</si>
  <si>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</si>
  <si>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</si>
  <si>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</si>
  <si>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</si>
  <si>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</si>
  <si>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</si>
  <si>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</si>
  <si>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</si>
  <si>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</si>
  <si>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</si>
  <si>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</si>
  <si>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</si>
  <si>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</si>
  <si>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</si>
  <si>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</si>
  <si>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</si>
  <si>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</si>
  <si>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</si>
  <si>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</si>
  <si>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</si>
  <si>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</si>
  <si>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</si>
  <si>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</si>
  <si>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</si>
  <si>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</si>
  <si>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</si>
  <si>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</si>
  <si>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</si>
  <si>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</si>
  <si>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</si>
  <si>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</si>
  <si>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</si>
  <si>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</si>
  <si>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</si>
  <si>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</si>
  <si>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</si>
  <si>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</si>
  <si>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</si>
  <si>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</si>
  <si>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</si>
  <si>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</si>
  <si>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</si>
  <si>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</si>
  <si>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</si>
  <si>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</si>
  <si>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</si>
  <si>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</si>
  <si>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</si>
  <si>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</si>
  <si>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</si>
  <si>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</si>
  <si>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</si>
  <si>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</si>
  <si>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</si>
  <si>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</si>
  <si>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</si>
  <si>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</si>
  <si>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</si>
  <si>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</si>
  <si>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</si>
  <si>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</si>
  <si>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</si>
  <si>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</si>
  <si>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</si>
  <si>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</si>
  <si>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</si>
  <si>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</si>
  <si>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</si>
  <si>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</si>
  <si>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</si>
  <si>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</si>
  <si>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</si>
  <si>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</si>
  <si>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</si>
  <si>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</si>
  <si>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</si>
  <si>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</si>
  <si>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</si>
  <si>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</si>
  <si>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</si>
  <si>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</si>
  <si>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</si>
  <si>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</si>
  <si>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</si>
  <si>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</si>
  <si>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</si>
  <si>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</si>
  <si>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</si>
  <si>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</si>
  <si>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</si>
  <si>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</si>
  <si>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</si>
  <si>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</si>
  <si>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</si>
  <si>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</si>
  <si>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</si>
  <si>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</si>
  <si>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</si>
  <si>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</si>
  <si>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</si>
  <si>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</si>
  <si>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</si>
  <si>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</si>
  <si>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</si>
  <si>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</si>
  <si>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</si>
  <si>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</si>
  <si>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</si>
  <si>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</si>
  <si>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</si>
  <si>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</si>
  <si>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</si>
  <si>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</si>
  <si>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</si>
  <si>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</si>
  <si>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</si>
  <si>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</si>
  <si>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</si>
  <si>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</si>
  <si>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</si>
  <si>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</si>
  <si>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</si>
  <si>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</si>
  <si>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</si>
  <si>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</si>
  <si>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</si>
  <si>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</si>
  <si>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</si>
  <si>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</si>
  <si>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</si>
  <si>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</si>
  <si>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</si>
  <si>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</si>
  <si>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</si>
  <si>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</si>
  <si>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</si>
  <si>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</si>
  <si>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</si>
  <si>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</si>
  <si>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</si>
  <si>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</si>
  <si>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</si>
  <si>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</si>
  <si>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</si>
  <si>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</si>
  <si>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</si>
  <si>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</si>
  <si>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</si>
  <si>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</si>
  <si>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</si>
  <si>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</si>
  <si>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</si>
  <si>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</si>
  <si>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</si>
  <si>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</si>
  <si>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</si>
  <si>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</si>
  <si>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</si>
  <si>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</si>
  <si>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</si>
  <si>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</si>
  <si>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</si>
  <si>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</si>
  <si>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</si>
  <si>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</si>
  <si>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</si>
  <si>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</si>
  <si>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</si>
  <si>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</si>
  <si>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</si>
  <si>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</si>
  <si>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</si>
  <si>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</si>
  <si>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</si>
  <si>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</si>
  <si>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</si>
  <si>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</si>
  <si>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</si>
  <si>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</si>
  <si>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</si>
  <si>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</si>
  <si>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</si>
  <si>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</si>
  <si>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</si>
  <si>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</si>
  <si>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</si>
  <si>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</si>
  <si>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</si>
  <si>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</si>
  <si>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</si>
  <si>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</si>
  <si>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</si>
  <si>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</si>
  <si>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</si>
  <si>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</si>
  <si>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</si>
  <si>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</si>
  <si>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</si>
  <si>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</si>
  <si>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</si>
  <si>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</si>
  <si>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</si>
  <si>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</si>
  <si>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</si>
  <si>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</si>
  <si>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</si>
  <si>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</si>
  <si>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</si>
  <si>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</si>
  <si>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</si>
  <si>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</si>
  <si>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</si>
  <si>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</si>
  <si>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</si>
  <si>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</si>
  <si>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</si>
  <si>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</si>
  <si>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</si>
  <si>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</si>
  <si>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</si>
  <si>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</si>
  <si>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</si>
  <si>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</si>
  <si>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</si>
  <si>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</si>
  <si>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</si>
  <si>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</si>
  <si>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</si>
  <si>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</si>
  <si>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</si>
  <si>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</si>
  <si>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</si>
  <si>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</si>
  <si>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</si>
  <si>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</si>
  <si>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</si>
  <si>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</si>
  <si>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</si>
  <si>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</si>
  <si>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</si>
  <si>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</si>
  <si>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</si>
  <si>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</si>
  <si>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</si>
  <si>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</si>
  <si>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</si>
  <si>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</si>
  <si>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</si>
  <si>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</si>
  <si>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</si>
  <si>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</si>
  <si>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</si>
  <si>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</si>
  <si>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</si>
  <si>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</si>
  <si>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</si>
  <si>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</si>
  <si>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</si>
  <si>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</si>
  <si>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</si>
  <si>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</si>
  <si>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</si>
  <si>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</si>
  <si>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</si>
  <si>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</si>
  <si>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</si>
  <si>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</si>
  <si>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</si>
  <si>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</si>
  <si>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</si>
  <si>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</si>
  <si>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</si>
  <si>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</si>
  <si>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</si>
  <si>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</si>
  <si>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</si>
  <si>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</si>
  <si>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</si>
  <si>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</si>
  <si>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</si>
  <si>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</si>
  <si>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</si>
  <si>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</si>
  <si>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</si>
  <si>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</si>
  <si>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</si>
  <si>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</si>
  <si>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</si>
  <si>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</si>
  <si>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</si>
  <si>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</si>
  <si>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</si>
  <si>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</si>
  <si>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</si>
  <si>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</si>
  <si>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</si>
  <si>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</si>
  <si>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</si>
  <si>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</si>
  <si>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</si>
  <si>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</si>
  <si>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</si>
  <si>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</si>
  <si>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</si>
  <si>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</si>
  <si>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</si>
  <si>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</si>
  <si>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</si>
  <si>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</si>
  <si>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</si>
  <si>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</si>
  <si>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</si>
  <si>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</si>
  <si>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</si>
  <si>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</si>
  <si>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</si>
  <si>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</si>
  <si>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</si>
  <si>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</si>
  <si>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</si>
  <si>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</si>
  <si>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</si>
  <si>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</si>
  <si>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</si>
  <si>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</si>
  <si>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</si>
  <si>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</si>
  <si>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</si>
  <si>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</si>
  <si>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</si>
  <si>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</si>
  <si>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</si>
  <si>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</si>
  <si>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</si>
  <si>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</si>
  <si>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</si>
  <si>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</si>
  <si>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</si>
  <si>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</si>
  <si>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</si>
  <si>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</si>
  <si>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</si>
  <si>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</si>
  <si>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</si>
  <si>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</si>
  <si>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</si>
  <si>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</si>
  <si>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</si>
  <si>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</si>
  <si>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</si>
  <si>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</si>
  <si>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</si>
  <si>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</si>
  <si>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</si>
  <si>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</si>
  <si>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</si>
  <si>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</si>
  <si>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</si>
  <si>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</si>
  <si>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</si>
  <si>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</si>
  <si>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</si>
  <si>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</si>
  <si>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</si>
  <si>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</si>
  <si>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</si>
  <si>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</si>
  <si>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</si>
  <si>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</si>
  <si>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</si>
  <si>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</si>
  <si>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</si>
  <si>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</si>
  <si>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</si>
  <si>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</si>
  <si>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</si>
  <si>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</si>
  <si>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</si>
  <si>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</si>
  <si>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</si>
  <si>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</si>
  <si>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</si>
  <si>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</si>
  <si>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</si>
  <si>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</si>
  <si>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</si>
  <si>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</si>
  <si>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</si>
  <si>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</si>
  <si>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</si>
  <si>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</si>
  <si>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</si>
  <si>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</si>
  <si>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</si>
  <si>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</si>
  <si>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</si>
  <si>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</si>
  <si>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</si>
  <si>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</si>
  <si>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</si>
  <si>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</si>
  <si>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</si>
  <si>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</si>
  <si>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</si>
  <si>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</si>
  <si>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</si>
  <si>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</si>
  <si>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</si>
  <si>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</si>
  <si>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</si>
  <si>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</si>
  <si>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</si>
  <si>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</si>
  <si>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</si>
  <si>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</si>
  <si>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</si>
  <si>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</si>
  <si>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</si>
  <si>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</si>
  <si>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</si>
  <si>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</si>
  <si>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</si>
  <si>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</si>
  <si>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</si>
  <si>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</si>
  <si>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</si>
  <si>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</si>
  <si>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</si>
  <si>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</si>
  <si>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</si>
  <si>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</si>
  <si>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</si>
  <si>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</si>
  <si>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</si>
  <si>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</si>
  <si>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</si>
  <si>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</si>
  <si>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</si>
  <si>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</si>
  <si>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</si>
  <si>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</si>
  <si>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</si>
  <si>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</si>
  <si>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</si>
  <si>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</si>
  <si>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</si>
  <si>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</si>
  <si>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</si>
  <si>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</si>
  <si>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</si>
  <si>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</si>
  <si>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</si>
  <si>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</si>
  <si>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</si>
  <si>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</si>
  <si>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</si>
  <si>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</si>
  <si>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</si>
  <si>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</si>
  <si>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</si>
  <si>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</si>
  <si>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</si>
  <si>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</si>
  <si>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</si>
  <si>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</si>
  <si>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</si>
  <si>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</si>
  <si>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</si>
  <si>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</si>
  <si>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</si>
  <si>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</si>
  <si>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</si>
  <si>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</si>
  <si>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</si>
  <si>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</si>
  <si>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</si>
  <si>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</si>
  <si>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</si>
  <si>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</si>
  <si>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</si>
  <si>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</si>
  <si>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</si>
  <si>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</si>
  <si>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</si>
  <si>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</si>
  <si>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</si>
  <si>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</si>
  <si>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</si>
  <si>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</si>
  <si>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</si>
  <si>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</si>
  <si>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</si>
  <si>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</si>
  <si>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</si>
  <si>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</si>
  <si>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</si>
  <si>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</si>
  <si>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</si>
  <si>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</si>
  <si>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</si>
  <si>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</si>
  <si>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</si>
  <si>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</si>
  <si>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</si>
  <si>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</si>
  <si>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</si>
  <si>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</si>
  <si>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</si>
  <si>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</si>
  <si>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</si>
  <si>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</si>
  <si>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</si>
  <si>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</si>
  <si>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</si>
  <si>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</si>
  <si>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</si>
  <si>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</si>
  <si>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</si>
  <si>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</si>
  <si>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</si>
  <si>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</si>
  <si>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</si>
  <si>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</si>
  <si>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</si>
  <si>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</si>
  <si>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</si>
  <si>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</si>
  <si>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</si>
  <si>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</si>
  <si>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</si>
  <si>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</si>
  <si>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</si>
  <si>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</si>
  <si>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</si>
  <si>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</si>
  <si>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</si>
  <si>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</si>
  <si>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</si>
  <si>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</si>
  <si>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</si>
  <si>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</si>
  <si>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</si>
  <si>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</si>
  <si>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</si>
  <si>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</si>
  <si>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</si>
  <si>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</si>
  <si>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</si>
  <si>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</si>
  <si>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</si>
  <si>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</si>
  <si>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</si>
  <si>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</si>
  <si>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</si>
  <si>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</si>
  <si>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</si>
  <si>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</si>
  <si>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</si>
  <si>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</si>
  <si>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</si>
  <si>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</si>
  <si>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</si>
  <si>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</si>
  <si>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</si>
  <si>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</si>
  <si>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</si>
  <si>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</si>
  <si>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</si>
  <si>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</si>
  <si>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</si>
  <si>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</si>
  <si>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</si>
  <si>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</si>
  <si>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</si>
  <si>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</si>
  <si>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</si>
  <si>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</si>
  <si>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</si>
  <si>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</si>
  <si>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</si>
  <si>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</si>
  <si>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</si>
  <si>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</si>
  <si>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</si>
  <si>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</si>
  <si>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</si>
  <si>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</si>
  <si>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</si>
  <si>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</si>
  <si>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</si>
  <si>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</si>
  <si>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</si>
  <si>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</si>
  <si>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</si>
  <si>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</si>
  <si>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</si>
  <si>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</si>
  <si>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</si>
  <si>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</si>
  <si>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</si>
  <si>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</si>
  <si>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</si>
  <si>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</si>
  <si>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</si>
  <si>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</si>
  <si>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</si>
  <si>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</si>
  <si>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</si>
  <si>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</si>
  <si>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</si>
  <si>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</si>
  <si>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</si>
  <si>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</si>
  <si>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</si>
  <si>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</si>
  <si>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</si>
  <si>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</si>
  <si>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</si>
  <si>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</si>
  <si>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</si>
  <si>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</si>
  <si>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</si>
  <si>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</si>
  <si>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</si>
  <si>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</si>
  <si>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</si>
  <si>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</si>
  <si>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</si>
  <si>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</si>
  <si>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</si>
  <si>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</si>
  <si>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</si>
  <si>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</si>
  <si>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</si>
  <si>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</si>
  <si>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</si>
  <si>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</si>
  <si>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</si>
  <si>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</si>
  <si>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</si>
  <si>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</si>
  <si>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</si>
  <si>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</si>
  <si>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</si>
  <si>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</si>
  <si>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</si>
  <si>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</si>
  <si>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</si>
  <si>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</si>
  <si>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</si>
  <si>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</si>
  <si>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</si>
  <si>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</si>
  <si>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</si>
  <si>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</si>
  <si>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</si>
  <si>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</si>
  <si>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</si>
  <si>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</si>
  <si>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</si>
  <si>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</si>
  <si>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</si>
  <si>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</si>
  <si>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</si>
  <si>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</si>
  <si>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</si>
  <si>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</si>
  <si>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</si>
  <si>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</si>
  <si>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</si>
  <si>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</si>
  <si>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</si>
  <si>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</si>
  <si>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</si>
  <si>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</si>
  <si>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</si>
  <si>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</si>
  <si>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</si>
  <si>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</si>
  <si>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</si>
  <si>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</si>
  <si>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</si>
  <si>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</si>
  <si>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</si>
  <si>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</si>
  <si>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</si>
  <si>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</si>
  <si>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</si>
  <si>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</si>
  <si>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</si>
  <si>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</si>
  <si>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</si>
  <si>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</si>
  <si>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</si>
  <si>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</si>
  <si>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</si>
  <si>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</si>
  <si>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</si>
  <si>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</si>
  <si>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</si>
  <si>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</si>
  <si>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</si>
  <si>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</si>
  <si>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</si>
  <si>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</si>
  <si>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</si>
  <si>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</si>
  <si>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</si>
  <si>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</si>
  <si>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</si>
  <si>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</si>
  <si>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</si>
  <si>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</si>
  <si>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</si>
  <si>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</si>
  <si>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</si>
  <si>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</si>
  <si>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</si>
  <si>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</si>
  <si>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</si>
  <si>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</si>
  <si>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</si>
  <si>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</si>
  <si>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</si>
  <si>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</si>
  <si>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</si>
  <si>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</si>
  <si>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</si>
  <si>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</si>
  <si>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</si>
  <si>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</si>
  <si>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</si>
  <si>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</si>
  <si>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</si>
  <si>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</si>
  <si>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</si>
  <si>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</si>
  <si>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</si>
  <si>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</si>
  <si>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</si>
  <si>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</si>
  <si>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</si>
  <si>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</si>
  <si>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</si>
  <si>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</si>
  <si>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</si>
  <si>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</si>
  <si>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</si>
  <si>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</si>
  <si>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</si>
  <si>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</si>
  <si>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</si>
  <si>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</si>
  <si>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</si>
  <si>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</si>
  <si>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</si>
  <si>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</si>
  <si>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</si>
  <si>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</si>
  <si>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</si>
  <si>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</si>
  <si>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</si>
  <si>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</si>
  <si>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</si>
  <si>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</si>
  <si>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</si>
  <si>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</si>
  <si>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</si>
  <si>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</si>
  <si>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</si>
  <si>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</si>
  <si>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</si>
  <si>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</si>
  <si>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</si>
  <si>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</si>
  <si>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</si>
  <si>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</si>
  <si>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</si>
  <si>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</si>
  <si>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</si>
  <si>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</si>
  <si>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</si>
  <si>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</si>
  <si>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</si>
  <si>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</si>
  <si>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</si>
  <si>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</si>
  <si>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</si>
  <si>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</si>
  <si>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</si>
  <si>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</si>
  <si>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</si>
  <si>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</si>
  <si>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</si>
  <si>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</si>
  <si>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</si>
  <si>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</si>
  <si>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</si>
  <si>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</si>
  <si>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</si>
  <si>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</si>
  <si>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</si>
  <si>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</si>
  <si>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</si>
  <si>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</si>
  <si>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</si>
  <si>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</si>
  <si>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</si>
  <si>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</si>
  <si>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</si>
  <si>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</si>
  <si>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</si>
  <si>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</si>
  <si>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</si>
  <si>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</si>
  <si>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</si>
  <si>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</si>
  <si>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</si>
  <si>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</si>
  <si>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</si>
  <si>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</si>
  <si>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</si>
  <si>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</si>
  <si>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</si>
  <si>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</si>
  <si>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</si>
  <si>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</si>
  <si>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</si>
  <si>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</si>
  <si>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</si>
  <si>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</si>
  <si>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</si>
  <si>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</si>
  <si>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</si>
  <si>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</si>
  <si>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</si>
  <si>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</si>
  <si>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</si>
  <si>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</si>
  <si>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</si>
  <si>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</si>
  <si>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</si>
  <si>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</si>
  <si>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</si>
  <si>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</si>
  <si>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</si>
  <si>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</si>
  <si>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</si>
  <si>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</si>
  <si>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</si>
  <si>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</si>
  <si>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</si>
  <si>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</si>
  <si>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</si>
  <si>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</si>
  <si>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</si>
  <si>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</si>
  <si>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</si>
  <si>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</si>
  <si>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</si>
  <si>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</si>
  <si>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</si>
  <si>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</si>
  <si>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</si>
  <si>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</si>
  <si>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</si>
  <si>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</si>
  <si>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</si>
  <si>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</si>
  <si>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</si>
  <si>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</si>
  <si>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</si>
  <si>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</si>
  <si>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</si>
  <si>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</si>
  <si>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</si>
  <si>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</si>
  <si>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</si>
  <si>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</si>
  <si>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</si>
  <si>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</si>
  <si>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</si>
  <si>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</si>
  <si>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</si>
  <si>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</si>
  <si>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</si>
  <si>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</si>
  <si>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</si>
  <si>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</si>
  <si>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</si>
  <si>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</si>
  <si>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</si>
  <si>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</si>
  <si>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</si>
  <si>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</si>
  <si>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</si>
  <si>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</si>
  <si>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</si>
  <si>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</si>
  <si>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</si>
  <si>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</si>
  <si>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</si>
  <si>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</si>
  <si>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</si>
  <si>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</si>
  <si>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</si>
  <si>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</si>
  <si>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</si>
  <si>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</si>
  <si>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</si>
  <si>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</si>
  <si>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</si>
  <si>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</si>
  <si>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</si>
  <si>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</si>
  <si>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</si>
  <si>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</si>
  <si>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</si>
  <si>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</si>
  <si>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</si>
  <si>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</si>
  <si>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</si>
  <si>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</si>
  <si>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</si>
  <si>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</si>
  <si>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</si>
  <si>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</si>
  <si>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</si>
  <si>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</si>
  <si>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</si>
  <si>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</si>
  <si>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</si>
  <si>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</si>
  <si>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</si>
  <si>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</si>
  <si>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</si>
  <si>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</si>
  <si>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</si>
  <si>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</si>
  <si>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</si>
  <si>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</si>
  <si>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</si>
  <si>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</si>
  <si>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</si>
  <si>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</si>
  <si>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</si>
  <si>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</si>
  <si>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</si>
  <si>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</si>
  <si>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</si>
  <si>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</si>
  <si>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</si>
  <si>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</si>
  <si>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</si>
  <si>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</si>
  <si>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</si>
  <si>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</si>
  <si>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</si>
  <si>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</si>
  <si>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</si>
  <si>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</si>
  <si>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</si>
  <si>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</si>
  <si>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</si>
  <si>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</si>
  <si>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</si>
  <si>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</si>
  <si>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</si>
  <si>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</si>
  <si>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</si>
  <si>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</si>
  <si>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</si>
  <si>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</si>
  <si>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</si>
  <si>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</si>
  <si>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</si>
  <si>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</si>
  <si>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</si>
  <si>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</si>
  <si>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</si>
  <si>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</si>
  <si>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</si>
  <si>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</si>
  <si>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</si>
  <si>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</si>
  <si>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</si>
  <si>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</si>
  <si>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</si>
  <si>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</si>
  <si>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</si>
  <si>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</si>
  <si>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</si>
  <si>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</si>
  <si>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</si>
  <si>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</si>
  <si>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</si>
  <si>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</si>
  <si>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</si>
  <si>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</si>
  <si>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</si>
  <si>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</si>
  <si>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</si>
  <si>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</si>
  <si>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</si>
  <si>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</si>
  <si>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</si>
  <si>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</si>
  <si>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</si>
  <si>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</si>
  <si>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</si>
  <si>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</si>
  <si>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</si>
  <si>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</si>
  <si>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</si>
  <si>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</si>
  <si>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</si>
  <si>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</si>
  <si>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</si>
  <si>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</si>
  <si>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</si>
  <si>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</si>
  <si>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</si>
  <si>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</si>
  <si>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</si>
  <si>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</si>
  <si>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</si>
  <si>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</si>
  <si>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</si>
  <si>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</si>
  <si>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</si>
  <si>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</si>
  <si>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</si>
  <si>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</si>
  <si>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</si>
  <si>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</si>
  <si>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</si>
  <si>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</si>
  <si>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</si>
  <si>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</si>
  <si>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</si>
  <si>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</si>
  <si>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</si>
  <si>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</si>
  <si>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</si>
  <si>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</si>
  <si>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</si>
  <si>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</si>
  <si>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</si>
  <si>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</si>
  <si>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</si>
  <si>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</si>
  <si>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</si>
  <si>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</si>
  <si>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</si>
  <si>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</si>
  <si>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</si>
  <si>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</si>
  <si>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</si>
  <si>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</si>
  <si>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</si>
  <si>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</si>
  <si>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</si>
  <si>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</si>
  <si>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</si>
  <si>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</si>
  <si>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</si>
  <si>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</si>
  <si>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</si>
  <si>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</si>
  <si>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</si>
  <si>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</si>
  <si>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</si>
  <si>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</si>
  <si>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</si>
  <si>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</si>
  <si>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</si>
  <si>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</si>
  <si>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</si>
  <si>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</si>
  <si>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</si>
  <si>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</si>
  <si>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</si>
  <si>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</si>
  <si>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</si>
  <si>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</si>
  <si>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</si>
  <si>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</si>
  <si>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</si>
  <si>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</si>
  <si>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</si>
  <si>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</si>
  <si>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</si>
  <si>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</si>
  <si>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</si>
  <si>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</si>
  <si>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</si>
  <si>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</si>
  <si>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</si>
  <si>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</si>
  <si>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</si>
  <si>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</si>
  <si>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</si>
  <si>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</si>
  <si>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</si>
  <si>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</si>
  <si>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</si>
  <si>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</si>
  <si>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</si>
  <si>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</si>
  <si>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</si>
  <si>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</si>
  <si>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</si>
  <si>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</si>
  <si>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</si>
  <si>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</si>
  <si>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</si>
  <si>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</si>
  <si>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</si>
  <si>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</si>
  <si>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</si>
  <si>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</si>
  <si>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</si>
  <si>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</si>
  <si>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</si>
  <si>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</si>
  <si>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</si>
  <si>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</si>
  <si>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</si>
  <si>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</si>
  <si>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</si>
  <si>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</si>
  <si>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</si>
  <si>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</si>
  <si>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</si>
  <si>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</si>
  <si>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</si>
  <si>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</si>
  <si>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</si>
  <si>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</si>
  <si>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</si>
  <si>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</si>
  <si>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</si>
  <si>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</si>
  <si>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</si>
  <si>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</si>
  <si>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</si>
  <si>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</si>
  <si>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</si>
  <si>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</si>
  <si>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</si>
  <si>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</si>
  <si>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</si>
  <si>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</si>
  <si>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</si>
  <si>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</si>
  <si>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</si>
  <si>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</si>
  <si>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</si>
  <si>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</si>
  <si>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</si>
  <si>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</si>
  <si>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</si>
  <si>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</si>
  <si>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</si>
  <si>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</si>
  <si>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</si>
  <si>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</si>
  <si>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</si>
  <si>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</si>
  <si>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</si>
  <si>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</si>
  <si>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</si>
  <si>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</si>
  <si>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</si>
  <si>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</si>
  <si>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</si>
  <si>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</si>
  <si>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</si>
  <si>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</si>
  <si>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</si>
  <si>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</si>
  <si>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</si>
  <si>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</si>
  <si>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</si>
  <si>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</si>
  <si>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</si>
  <si>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</si>
  <si>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</si>
  <si>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</si>
  <si>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</si>
  <si>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</si>
  <si>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</si>
  <si>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</si>
  <si>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</si>
  <si>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</si>
  <si>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</si>
  <si>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</si>
  <si>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</si>
  <si>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</si>
  <si>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</si>
  <si>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</si>
  <si>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</si>
  <si>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</si>
  <si>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</si>
  <si>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</si>
  <si>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</si>
  <si>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</si>
  <si>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</si>
  <si>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</si>
  <si>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</si>
  <si>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</si>
  <si>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</si>
  <si>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</si>
  <si>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</si>
  <si>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</si>
  <si>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</si>
  <si>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</si>
  <si>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</si>
  <si>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</si>
  <si>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</si>
  <si>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</si>
  <si>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</si>
  <si>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</si>
  <si>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</si>
  <si>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</si>
  <si>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</si>
  <si>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</si>
  <si>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</si>
  <si>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</si>
  <si>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</si>
  <si>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</si>
  <si>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</si>
  <si>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</si>
  <si>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</si>
  <si>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</si>
  <si>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</si>
  <si>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</si>
  <si>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</si>
  <si>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</si>
  <si>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</si>
  <si>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</si>
  <si>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</si>
  <si>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</si>
  <si>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</si>
  <si>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</si>
  <si>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</si>
  <si>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</si>
  <si>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</si>
  <si>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</si>
  <si>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</si>
  <si>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</si>
  <si>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</si>
  <si>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</si>
  <si>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</si>
  <si>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</si>
  <si>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</si>
  <si>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</si>
  <si>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</si>
  <si>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</si>
  <si>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</si>
  <si>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</si>
  <si>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</si>
  <si>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</si>
  <si>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</si>
  <si>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</si>
  <si>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</si>
  <si>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</si>
  <si>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</si>
  <si>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</si>
  <si>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</si>
  <si>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</si>
  <si>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</si>
  <si>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</si>
  <si>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</si>
  <si>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</si>
  <si>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</si>
  <si>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</si>
  <si>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</si>
  <si>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</si>
  <si>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</si>
  <si>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</si>
  <si>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</si>
  <si>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</si>
  <si>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</si>
  <si>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</si>
  <si>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</si>
  <si>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</si>
  <si>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</si>
  <si>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</si>
  <si>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</si>
  <si>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</si>
  <si>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</si>
  <si>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</si>
  <si>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</si>
  <si>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</si>
  <si>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</si>
  <si>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</si>
  <si>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</si>
  <si>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</si>
  <si>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</si>
  <si>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</si>
  <si>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</si>
  <si>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</si>
  <si>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</si>
  <si>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</si>
  <si>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</si>
  <si>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</si>
  <si>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</si>
  <si>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</si>
  <si>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</si>
  <si>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</si>
  <si>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</si>
  <si>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</si>
  <si>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</si>
  <si>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</si>
  <si>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</si>
  <si>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</si>
  <si>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</si>
  <si>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</si>
  <si>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</si>
  <si>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</si>
  <si>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</si>
  <si>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</si>
  <si>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</si>
  <si>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</si>
  <si>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</si>
  <si>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</si>
  <si>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</si>
  <si>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</si>
  <si>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</si>
  <si>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</si>
  <si>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</si>
  <si>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</si>
  <si>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</si>
  <si>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</si>
  <si>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</si>
  <si>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</si>
  <si>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</si>
  <si>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</si>
  <si>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</si>
  <si>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</si>
  <si>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</si>
  <si>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</si>
  <si>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</si>
  <si>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</si>
  <si>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</si>
  <si>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</si>
  <si>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</si>
  <si>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</si>
  <si>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</si>
  <si>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</si>
  <si>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</si>
  <si>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</si>
  <si>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</si>
  <si>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</si>
  <si>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</si>
  <si>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</si>
  <si>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</si>
  <si>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</si>
  <si>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</si>
  <si>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</si>
  <si>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</si>
  <si>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</si>
  <si>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</si>
  <si>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</si>
  <si>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</si>
  <si>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</si>
  <si>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</si>
  <si>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</si>
  <si>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</si>
  <si>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</si>
  <si>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</si>
  <si>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</si>
  <si>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</si>
  <si>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</si>
  <si>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</si>
  <si>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</si>
  <si>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</si>
  <si>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</si>
  <si>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</si>
  <si>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</si>
  <si>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</si>
  <si>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</si>
  <si>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</si>
  <si>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</si>
  <si>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</si>
  <si>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</si>
  <si>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</si>
  <si>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</si>
  <si>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</si>
  <si>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</si>
  <si>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</si>
  <si>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</si>
  <si>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</si>
  <si>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</si>
  <si>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</si>
  <si>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</si>
  <si>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</si>
  <si>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</si>
  <si>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</si>
  <si>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</si>
  <si>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</si>
  <si>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</si>
  <si>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</si>
  <si>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</si>
  <si>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</si>
  <si>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</si>
  <si>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</si>
  <si>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</si>
  <si>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</si>
  <si>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</si>
  <si>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</si>
  <si>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</si>
  <si>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</si>
  <si>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</si>
  <si>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</si>
  <si>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</si>
  <si>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</si>
  <si>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</si>
  <si>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</si>
  <si>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</si>
  <si>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</si>
  <si>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</si>
  <si>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</si>
  <si>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</si>
  <si>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</si>
  <si>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</si>
  <si>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</si>
  <si>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</si>
  <si>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</si>
  <si>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</si>
  <si>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</si>
  <si>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</si>
  <si>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</si>
  <si>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</si>
  <si>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</si>
  <si>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</si>
  <si>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</si>
  <si>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</si>
  <si>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</si>
  <si>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</si>
  <si>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</si>
  <si>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</si>
  <si>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</si>
  <si>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</si>
  <si>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</si>
  <si>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</si>
  <si>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</si>
  <si>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</si>
  <si>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</si>
  <si>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</si>
  <si>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</si>
  <si>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</si>
  <si>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</si>
  <si>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</si>
  <si>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</si>
  <si>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</si>
  <si>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</si>
  <si>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</si>
  <si>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</si>
  <si>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</si>
  <si>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</si>
  <si>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</si>
  <si>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</si>
  <si>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</si>
  <si>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</si>
  <si>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</si>
  <si>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</si>
  <si>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</si>
  <si>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</si>
  <si>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</si>
  <si>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</si>
  <si>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</si>
  <si>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</si>
  <si>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</si>
  <si>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</si>
  <si>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</si>
  <si>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</si>
  <si>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</si>
  <si>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</si>
  <si>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</si>
  <si>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</si>
  <si>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</si>
  <si>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</si>
  <si>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</si>
  <si>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</si>
  <si>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</si>
  <si>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</si>
  <si>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</si>
  <si>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</si>
  <si>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</si>
  <si>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</si>
  <si>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</si>
  <si>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</si>
  <si>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</si>
  <si>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</si>
  <si>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</si>
  <si>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</si>
  <si>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</si>
  <si>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</si>
  <si>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</si>
  <si>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</si>
  <si>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</si>
  <si>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</si>
  <si>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</si>
  <si>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</si>
  <si>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</si>
  <si>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</si>
  <si>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</si>
  <si>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</si>
  <si>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</si>
  <si>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</si>
  <si>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</si>
  <si>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</si>
  <si>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</si>
  <si>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</si>
  <si>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</si>
  <si>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</si>
  <si>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</si>
  <si>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</si>
  <si>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</si>
  <si>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</si>
  <si>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</si>
  <si>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</si>
  <si>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</si>
  <si>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</si>
  <si>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</si>
  <si>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</si>
  <si>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</si>
  <si>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</si>
  <si>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</si>
  <si>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</si>
  <si>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</si>
  <si>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</si>
  <si>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</si>
  <si>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</si>
  <si>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</si>
  <si>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</si>
  <si>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</si>
  <si>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</si>
  <si>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</si>
  <si>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</si>
  <si>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</si>
  <si>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</si>
  <si>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</si>
  <si>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</si>
  <si>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</si>
  <si>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</si>
  <si>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</si>
  <si>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</si>
  <si>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</si>
  <si>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</si>
  <si>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</si>
  <si>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</si>
  <si>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</si>
  <si>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</si>
  <si>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</si>
  <si>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</si>
  <si>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</si>
  <si>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</si>
  <si>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</si>
  <si>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</si>
  <si>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</si>
  <si>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</si>
  <si>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</si>
  <si>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</si>
  <si>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</si>
  <si>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</si>
  <si>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</si>
  <si>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</si>
  <si>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</si>
  <si>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</si>
  <si>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</si>
  <si>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</si>
  <si>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</si>
  <si>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</si>
  <si>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</si>
  <si>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</si>
  <si>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</si>
  <si>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</si>
  <si>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</si>
  <si>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</si>
  <si>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</si>
  <si>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</si>
  <si>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</si>
  <si>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</si>
  <si>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</si>
  <si>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</si>
  <si>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</si>
  <si>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</si>
  <si>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</si>
  <si>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</si>
  <si>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</si>
  <si>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</si>
  <si>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</si>
  <si>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</si>
  <si>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</si>
  <si>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</si>
  <si>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</si>
  <si>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</si>
  <si>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</si>
  <si>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</si>
  <si>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</si>
  <si>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</si>
  <si>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</si>
  <si>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</si>
  <si>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</si>
  <si>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</si>
  <si>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</si>
  <si>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</si>
  <si>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</si>
  <si>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</si>
  <si>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</si>
  <si>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</si>
  <si>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</si>
  <si>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</si>
  <si>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</si>
  <si>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</si>
  <si>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</si>
  <si>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</si>
  <si>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</si>
  <si>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</si>
  <si>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</si>
  <si>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</si>
  <si>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</si>
  <si>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</si>
  <si>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</si>
  <si>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</si>
  <si>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</si>
  <si>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</si>
  <si>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</si>
  <si>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</si>
  <si>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</si>
  <si>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</si>
  <si>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</si>
  <si>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</si>
  <si>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</si>
  <si>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</si>
  <si>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</si>
  <si>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</si>
  <si>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</si>
  <si>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</si>
  <si>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</si>
  <si>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</si>
  <si>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</si>
  <si>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</si>
  <si>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</si>
  <si>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</si>
  <si>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</si>
  <si>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</si>
  <si>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</si>
  <si>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</si>
  <si>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</si>
  <si>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</si>
  <si>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</si>
  <si>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</si>
  <si>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</si>
  <si>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</si>
  <si>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</si>
  <si>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</si>
  <si>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</si>
  <si>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</si>
  <si>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</si>
  <si>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</si>
  <si>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</si>
  <si>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</si>
  <si>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</si>
  <si>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</si>
  <si>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</si>
  <si>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</si>
  <si>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</si>
  <si>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</si>
  <si>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</si>
  <si>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</si>
  <si>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</si>
  <si>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</si>
  <si>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</si>
  <si>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</si>
  <si>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</si>
  <si>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</si>
  <si>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</si>
  <si>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</si>
  <si>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</si>
  <si>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</si>
  <si>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</si>
  <si>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</si>
  <si>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</si>
  <si>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</si>
  <si>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</si>
  <si>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</si>
  <si>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</si>
  <si>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</si>
  <si>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</si>
  <si>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</si>
  <si>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</si>
  <si>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</si>
  <si>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</si>
  <si>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</si>
  <si>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</si>
  <si>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</si>
  <si>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</si>
  <si>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</si>
  <si>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</si>
  <si>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</si>
  <si>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</si>
  <si>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</si>
  <si>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</si>
  <si>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</si>
  <si>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</si>
  <si>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</si>
  <si>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</si>
  <si>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</si>
  <si>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</si>
  <si>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</si>
  <si>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</si>
  <si>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</si>
  <si>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</si>
  <si>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</si>
  <si>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</si>
  <si>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</si>
  <si>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</si>
  <si>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</si>
  <si>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</si>
  <si>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</si>
  <si>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</si>
  <si>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</si>
  <si>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</si>
  <si>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</si>
  <si>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</si>
  <si>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</si>
  <si>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</si>
  <si>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</si>
  <si>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</si>
  <si>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</si>
  <si>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</si>
  <si>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</si>
  <si>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</si>
  <si>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</si>
  <si>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</si>
  <si>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</si>
  <si>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</si>
  <si>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</si>
  <si>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</si>
  <si>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</si>
  <si>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</si>
  <si>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</si>
  <si>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</si>
  <si>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</si>
  <si>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</si>
  <si>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</si>
  <si>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</si>
  <si>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</si>
  <si>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</si>
  <si>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</si>
  <si>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</si>
  <si>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</si>
  <si>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</si>
  <si>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</si>
  <si>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</si>
  <si>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</si>
  <si>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</si>
  <si>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</si>
  <si>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</si>
  <si>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</si>
  <si>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</si>
  <si>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</si>
  <si>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</si>
  <si>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</si>
  <si>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</si>
  <si>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</si>
  <si>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</si>
  <si>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</si>
  <si>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</si>
  <si>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</si>
  <si>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</si>
  <si>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</si>
  <si>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</si>
  <si>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</si>
  <si>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</si>
  <si>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</si>
  <si>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</si>
  <si>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</si>
  <si>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</si>
  <si>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</si>
  <si>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</si>
  <si>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</si>
  <si>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</si>
  <si>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</si>
  <si>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</si>
  <si>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</si>
  <si>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</si>
  <si>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</si>
  <si>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</si>
  <si>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</si>
  <si>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</si>
  <si>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</si>
  <si>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</si>
  <si>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</si>
  <si>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</si>
  <si>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</si>
  <si>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</si>
  <si>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</si>
  <si>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</si>
  <si>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</si>
  <si>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</si>
  <si>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</si>
  <si>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</si>
  <si>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</si>
  <si>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</si>
  <si>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</si>
  <si>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</si>
  <si>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</si>
  <si>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</si>
  <si>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</si>
  <si>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</si>
  <si>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</si>
  <si>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</si>
  <si>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</si>
  <si>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</si>
  <si>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</si>
  <si>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</si>
  <si>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</si>
  <si>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</si>
  <si>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</si>
  <si>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</si>
  <si>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</si>
  <si>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</si>
  <si>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</si>
  <si>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</si>
  <si>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</si>
  <si>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</si>
  <si>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</si>
  <si>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</si>
  <si>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</si>
  <si>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</si>
  <si>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</si>
  <si>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</si>
  <si>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</si>
  <si>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</si>
  <si>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</si>
  <si>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</si>
  <si>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</si>
  <si>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</si>
  <si>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</si>
  <si>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</si>
  <si>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</si>
  <si>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</si>
  <si>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</si>
  <si>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</si>
  <si>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</si>
  <si>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</si>
  <si>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</si>
  <si>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</si>
  <si>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</si>
  <si>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</si>
  <si>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</si>
  <si>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</si>
  <si>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</si>
  <si>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</si>
  <si>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</si>
  <si>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</si>
  <si>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</si>
  <si>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</si>
  <si>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</si>
  <si>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</si>
  <si>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</si>
  <si>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</si>
  <si>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</si>
  <si>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</si>
  <si>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</si>
  <si>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</si>
  <si>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</si>
  <si>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</si>
  <si>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</si>
  <si>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</si>
  <si>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</si>
  <si>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</si>
  <si>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</si>
  <si>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</si>
  <si>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</si>
  <si>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</si>
  <si>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</si>
  <si>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</si>
  <si>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</si>
  <si>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</si>
  <si>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</si>
  <si>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</si>
  <si>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</si>
  <si>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</si>
  <si>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</si>
  <si>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</si>
  <si>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</si>
  <si>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</si>
  <si>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</si>
  <si>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</si>
  <si>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</si>
  <si>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</si>
  <si>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</si>
  <si>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</si>
  <si>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</si>
  <si>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</si>
  <si>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</si>
  <si>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</si>
  <si>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</si>
  <si>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</si>
  <si>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</si>
  <si>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</si>
  <si>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</si>
  <si>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</si>
  <si>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</si>
  <si>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</si>
  <si>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</si>
  <si>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</si>
  <si>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</si>
  <si>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</si>
  <si>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</si>
  <si>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</si>
  <si>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</si>
  <si>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</si>
  <si>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</si>
  <si>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</si>
  <si>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</si>
  <si>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</si>
  <si>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</si>
  <si>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</si>
  <si>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</si>
  <si>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</si>
  <si>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</si>
  <si>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</si>
  <si>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</si>
  <si>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</si>
  <si>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</si>
  <si>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</si>
  <si>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</si>
  <si>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</si>
  <si>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</si>
  <si>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</si>
  <si>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</si>
  <si>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</si>
  <si>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</si>
  <si>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</si>
  <si>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</si>
  <si>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</si>
  <si>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</si>
  <si>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</si>
  <si>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</si>
  <si>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</si>
  <si>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</si>
  <si>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</si>
  <si>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</si>
  <si>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</si>
  <si>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</si>
  <si>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</si>
  <si>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</si>
  <si>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</si>
  <si>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</si>
  <si>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</si>
  <si>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</si>
  <si>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</si>
  <si>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</si>
  <si>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</si>
  <si>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</si>
  <si>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</si>
  <si>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</si>
  <si>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</si>
  <si>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</si>
  <si>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</si>
  <si>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</si>
  <si>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</si>
  <si>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</si>
  <si>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</si>
  <si>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</si>
  <si>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</si>
  <si>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</si>
  <si>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</si>
  <si>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</si>
  <si>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</si>
  <si>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</si>
  <si>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</si>
  <si>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</si>
  <si>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</si>
  <si>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</si>
  <si>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</si>
  <si>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</si>
  <si>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</si>
  <si>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</si>
  <si>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</si>
  <si>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</si>
  <si>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</si>
  <si>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</si>
  <si>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</si>
  <si>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</si>
  <si>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</si>
  <si>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</si>
  <si>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</si>
  <si>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</si>
  <si>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</si>
  <si>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</si>
  <si>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</si>
  <si>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</si>
  <si>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</si>
  <si>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</si>
  <si>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</si>
  <si>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</si>
  <si>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</si>
  <si>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</si>
  <si>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</si>
  <si>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</si>
  <si>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</si>
  <si>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</si>
  <si>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</si>
  <si>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</si>
  <si>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</si>
  <si>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</si>
  <si>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</si>
  <si>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</si>
  <si>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</si>
  <si>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</si>
  <si>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</si>
  <si>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</si>
  <si>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</si>
  <si>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</si>
  <si>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</si>
  <si>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</si>
  <si>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</si>
  <si>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</si>
  <si>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</si>
  <si>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</si>
  <si>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</si>
  <si>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</si>
  <si>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</si>
  <si>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</si>
  <si>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</si>
  <si>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</si>
  <si>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</si>
  <si>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</si>
  <si>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</si>
  <si>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</si>
  <si>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</si>
  <si>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</si>
  <si>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</si>
  <si>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</si>
  <si>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</si>
  <si>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</si>
  <si>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</si>
  <si>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</si>
  <si>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</si>
  <si>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</si>
  <si>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</si>
  <si>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</si>
  <si>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</si>
  <si>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</si>
  <si>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</si>
  <si>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</si>
  <si>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</si>
  <si>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</si>
  <si>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</si>
  <si>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</si>
  <si>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</si>
  <si>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</si>
  <si>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</si>
  <si>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</si>
  <si>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</si>
  <si>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</si>
  <si>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</si>
  <si>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</si>
  <si>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</si>
  <si>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</si>
  <si>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</si>
  <si>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</si>
  <si>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</si>
  <si>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</si>
  <si>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</si>
  <si>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</si>
  <si>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</si>
  <si>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</si>
  <si>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</si>
  <si>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</si>
  <si>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</si>
  <si>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</si>
  <si>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</si>
  <si>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</si>
  <si>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</si>
  <si>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</si>
  <si>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</si>
  <si>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</si>
  <si>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</si>
  <si>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</si>
  <si>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</si>
  <si>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</si>
  <si>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</si>
  <si>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</si>
  <si>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</si>
  <si>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</si>
  <si>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</si>
  <si>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</si>
  <si>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</si>
  <si>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</si>
  <si>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</si>
  <si>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</si>
  <si>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</si>
  <si>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</si>
  <si>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</si>
  <si>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</si>
  <si>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</si>
  <si>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</si>
  <si>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</si>
  <si>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</si>
  <si>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</si>
  <si>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</si>
  <si>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</si>
  <si>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</si>
  <si>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</si>
  <si>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</si>
  <si>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</si>
  <si>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</si>
  <si>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</si>
  <si>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</si>
  <si>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</si>
  <si>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</si>
  <si>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</si>
  <si>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</si>
  <si>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</si>
  <si>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</si>
  <si>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</si>
  <si>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</si>
  <si>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</si>
  <si>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</si>
  <si>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</si>
  <si>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</si>
  <si>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</si>
  <si>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</si>
  <si>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</si>
  <si>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</si>
  <si>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</si>
  <si>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</si>
  <si>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</si>
  <si>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</si>
  <si>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</si>
  <si>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</si>
  <si>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</si>
  <si>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</si>
  <si>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</si>
  <si>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</si>
  <si>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</si>
  <si>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</si>
  <si>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</si>
  <si>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</si>
  <si>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</si>
  <si>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</si>
  <si>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</si>
  <si>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</si>
  <si>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</si>
  <si>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</si>
  <si>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</si>
  <si>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</si>
  <si>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</si>
  <si>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</si>
  <si>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</si>
  <si>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</si>
  <si>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</si>
  <si>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</si>
  <si>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</si>
  <si>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</si>
  <si>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</si>
  <si>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</si>
  <si>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</si>
  <si>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</si>
  <si>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</si>
  <si>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</si>
  <si>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</si>
  <si>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</si>
  <si>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</si>
  <si>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</si>
  <si>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</si>
  <si>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</si>
  <si>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</si>
  <si>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</si>
  <si>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</si>
  <si>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</si>
  <si>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</si>
  <si>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</si>
  <si>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</si>
  <si>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</si>
  <si>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</si>
  <si>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</si>
  <si>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</si>
  <si>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</si>
  <si>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</si>
  <si>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</si>
  <si>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</si>
  <si>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</si>
  <si>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</si>
  <si>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</si>
  <si>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</si>
  <si>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</si>
  <si>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</si>
  <si>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</si>
  <si>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</si>
  <si>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</si>
  <si>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</si>
  <si>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</si>
  <si>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</si>
  <si>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</si>
  <si>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</si>
  <si>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</si>
  <si>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</si>
  <si>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</si>
  <si>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</si>
  <si>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</si>
  <si>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</si>
  <si>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</si>
  <si>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</si>
  <si>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</si>
  <si>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</si>
  <si>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</si>
  <si>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</si>
  <si>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</si>
  <si>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</si>
  <si>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</si>
  <si>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</si>
  <si>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</si>
  <si>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</si>
  <si>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</si>
  <si>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</si>
  <si>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</si>
  <si>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</si>
  <si>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</si>
  <si>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</si>
  <si>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</si>
  <si>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</si>
  <si>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</si>
  <si>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</si>
  <si>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</si>
  <si>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</si>
  <si>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</si>
  <si>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</si>
  <si>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</si>
  <si>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</si>
  <si>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</si>
  <si>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</si>
  <si>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</si>
  <si>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</si>
  <si>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</si>
  <si>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</si>
  <si>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</si>
  <si>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</si>
  <si>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</si>
  <si>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</si>
  <si>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</si>
  <si>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</si>
  <si>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</si>
  <si>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</si>
  <si>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</si>
  <si>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</si>
  <si>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</si>
  <si>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</si>
  <si>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</si>
  <si>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</si>
  <si>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</si>
  <si>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</si>
  <si>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</si>
  <si>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</si>
  <si>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</si>
  <si>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</si>
  <si>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</si>
  <si>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</si>
  <si>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</si>
  <si>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</si>
  <si>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</si>
  <si>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</si>
  <si>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</si>
  <si>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</si>
  <si>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</si>
  <si>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</si>
  <si>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</si>
  <si>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</si>
  <si>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</si>
  <si>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</si>
  <si>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</si>
  <si>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</si>
  <si>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</si>
  <si>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</si>
  <si>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</si>
  <si>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</si>
  <si>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</si>
  <si>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</si>
  <si>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</si>
  <si>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</si>
  <si>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</si>
  <si>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</si>
  <si>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</si>
  <si>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</si>
  <si>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</si>
  <si>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</si>
  <si>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</si>
  <si>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</si>
  <si>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</si>
  <si>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</si>
  <si>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</si>
  <si>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</si>
  <si>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</si>
  <si>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</si>
  <si>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</si>
  <si>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</si>
  <si>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</si>
  <si>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</si>
  <si>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</si>
  <si>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</si>
  <si>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</si>
  <si>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</si>
  <si>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</si>
  <si>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</si>
  <si>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</si>
  <si>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</si>
  <si>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</si>
  <si>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</si>
  <si>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</si>
  <si>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</si>
  <si>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</si>
  <si>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</si>
  <si>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</si>
  <si>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</si>
  <si>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</si>
  <si>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</si>
  <si>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</si>
  <si>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</si>
  <si>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</si>
  <si>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</si>
  <si>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</si>
  <si>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</si>
  <si>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</si>
  <si>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</si>
  <si>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</si>
  <si>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</si>
  <si>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</si>
  <si>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</si>
  <si>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</si>
  <si>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</si>
  <si>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</si>
  <si>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</si>
  <si>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</si>
  <si>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</si>
  <si>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</si>
  <si>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</si>
  <si>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</si>
  <si>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</si>
  <si>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</si>
  <si>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</si>
  <si>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</si>
  <si>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</si>
  <si>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</si>
  <si>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</si>
  <si>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</si>
  <si>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</si>
  <si>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</si>
  <si>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</si>
  <si>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</si>
  <si>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</si>
  <si>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</si>
  <si>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</si>
  <si>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</si>
  <si>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</si>
  <si>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</si>
  <si>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</si>
  <si>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</si>
  <si>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</si>
  <si>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</si>
  <si>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</si>
  <si>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</si>
  <si>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</si>
  <si>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</si>
  <si>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</si>
  <si>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</si>
  <si>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</si>
  <si>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</si>
  <si>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</si>
  <si>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</si>
  <si>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</si>
  <si>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</si>
  <si>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</si>
  <si>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</si>
  <si>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</si>
  <si>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</si>
  <si>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</si>
  <si>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</si>
  <si>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</si>
  <si>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</si>
  <si>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</si>
  <si>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</si>
  <si>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</si>
  <si>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</si>
  <si>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</si>
  <si>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</si>
  <si>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</si>
  <si>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</si>
  <si>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</si>
  <si>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</si>
  <si>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</si>
  <si>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</si>
  <si>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</si>
  <si>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</si>
  <si>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</si>
  <si>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</si>
  <si>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</si>
  <si>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</si>
  <si>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</si>
  <si>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</si>
  <si>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</si>
  <si>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</si>
  <si>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</si>
  <si>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</si>
  <si>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</si>
  <si>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</si>
  <si>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</si>
  <si>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</si>
  <si>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</si>
  <si>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</si>
  <si>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</si>
  <si>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</si>
  <si>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</si>
  <si>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</si>
  <si>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</si>
  <si>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</si>
  <si>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</si>
  <si>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</si>
  <si>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</si>
  <si>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</si>
  <si>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</si>
  <si>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</si>
  <si>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</si>
  <si>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</si>
  <si>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</si>
  <si>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</si>
  <si>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</si>
  <si>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</si>
  <si>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</si>
  <si>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</si>
  <si>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</si>
  <si>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</si>
  <si>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</si>
  <si>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</si>
  <si>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</si>
  <si>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</si>
  <si>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</si>
  <si>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</si>
  <si>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</si>
  <si>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</si>
  <si>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</si>
  <si>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</si>
  <si>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</si>
  <si>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</si>
  <si>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</si>
  <si>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</si>
  <si>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</si>
  <si>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</si>
  <si>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</si>
  <si>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</si>
  <si>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</si>
  <si>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</si>
  <si>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</si>
  <si>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</si>
  <si>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</si>
  <si>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</si>
  <si>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</si>
  <si>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</si>
  <si>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</si>
  <si>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</si>
  <si>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</si>
  <si>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</si>
  <si>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</si>
  <si>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</si>
  <si>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</si>
  <si>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</si>
  <si>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</si>
  <si>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</si>
  <si>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</si>
  <si>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</si>
  <si>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</si>
  <si>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</si>
  <si>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</si>
  <si>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</si>
  <si>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</si>
  <si>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</si>
  <si>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</si>
  <si>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</si>
  <si>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</si>
  <si>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</si>
  <si>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</si>
  <si>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</si>
  <si>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</si>
  <si>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</si>
  <si>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</si>
  <si>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</si>
  <si>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</si>
  <si>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</si>
  <si>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</si>
  <si>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</si>
  <si>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</si>
  <si>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</si>
  <si>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</si>
  <si>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</si>
  <si>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</si>
  <si>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</si>
  <si>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</si>
  <si>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</si>
  <si>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</si>
  <si>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</si>
  <si>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</si>
  <si>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</si>
  <si>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</si>
  <si>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</si>
  <si>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</si>
  <si>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</si>
  <si>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</si>
  <si>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</si>
  <si>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</si>
  <si>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</si>
  <si>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</si>
  <si>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</si>
  <si>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</si>
  <si>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</si>
  <si>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</si>
  <si>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</si>
  <si>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</si>
  <si>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</si>
  <si>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</si>
  <si>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</si>
  <si>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</si>
  <si>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</si>
  <si>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</si>
  <si>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</si>
  <si>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</si>
  <si>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</si>
  <si>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</si>
  <si>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</si>
  <si>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</si>
  <si>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</si>
  <si>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</si>
  <si>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</si>
  <si>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</si>
  <si>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</si>
  <si>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</si>
  <si>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</si>
  <si>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</si>
  <si>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</si>
  <si>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</si>
  <si>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</si>
  <si>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</si>
  <si>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</si>
  <si>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</si>
  <si>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</si>
  <si>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</si>
  <si>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</si>
  <si>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</si>
  <si>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</si>
  <si>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</si>
  <si>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</si>
  <si>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</si>
  <si>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</si>
  <si>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</si>
  <si>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</si>
  <si>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</si>
  <si>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</si>
  <si>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</si>
  <si>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</si>
  <si>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</si>
  <si>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</si>
  <si>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</si>
  <si>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</si>
  <si>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</si>
  <si>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</si>
  <si>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</si>
  <si>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</si>
  <si>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</si>
  <si>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</si>
  <si>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</si>
  <si>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</si>
  <si>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</si>
  <si>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</si>
  <si>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</si>
  <si>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</si>
  <si>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</si>
  <si>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</si>
  <si>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</si>
  <si>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</si>
  <si>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</si>
  <si>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</si>
  <si>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</si>
  <si>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</si>
  <si>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</si>
  <si>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</si>
  <si>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</si>
  <si>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</si>
  <si>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</si>
  <si>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</si>
  <si>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</si>
  <si>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</si>
  <si>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</si>
  <si>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</si>
  <si>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</si>
  <si>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</si>
  <si>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</si>
  <si>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</si>
  <si>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</si>
  <si>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</si>
  <si>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</si>
  <si>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</si>
  <si>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</si>
  <si>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</si>
  <si>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</si>
  <si>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</si>
  <si>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</si>
  <si>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</si>
  <si>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</si>
  <si>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</si>
  <si>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</si>
  <si>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</si>
  <si>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</si>
  <si>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</si>
  <si>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</si>
  <si>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</si>
  <si>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</si>
  <si>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</si>
  <si>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</si>
  <si>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</si>
  <si>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</si>
  <si>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</si>
  <si>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</si>
  <si>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</si>
  <si>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</si>
  <si>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</si>
  <si>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</si>
  <si>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</si>
  <si>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</si>
  <si>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</si>
  <si>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</si>
  <si>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</si>
  <si>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</si>
  <si>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</si>
  <si>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</si>
  <si>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</si>
  <si>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</si>
  <si>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</si>
  <si>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</si>
  <si>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</si>
  <si>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</si>
  <si>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</si>
  <si>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</si>
  <si>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</si>
  <si>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</si>
  <si>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</si>
  <si>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</si>
  <si>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</si>
  <si>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</si>
  <si>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</si>
  <si>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</si>
  <si>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</si>
  <si>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</si>
  <si>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</si>
  <si>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</si>
  <si>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</si>
  <si>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</si>
  <si>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</si>
  <si>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</si>
  <si>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</si>
  <si>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</si>
  <si>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</si>
  <si>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</si>
  <si>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</si>
  <si>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</si>
  <si>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</si>
  <si>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</si>
  <si>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</si>
  <si>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</si>
  <si>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</si>
  <si>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</si>
  <si>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</si>
  <si>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</si>
  <si>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</si>
  <si>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</si>
  <si>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</si>
  <si>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</si>
  <si>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</si>
  <si>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</si>
  <si>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</si>
  <si>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</si>
  <si>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</si>
  <si>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</si>
  <si>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</si>
  <si>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</si>
  <si>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</si>
  <si>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</si>
  <si>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</si>
  <si>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</si>
  <si>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</si>
  <si>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</si>
  <si>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</si>
  <si>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</si>
  <si>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</si>
  <si>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</si>
  <si>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</si>
  <si>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</si>
  <si>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</si>
  <si>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</si>
  <si>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</si>
  <si>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</si>
  <si>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</si>
  <si>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</si>
  <si>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</si>
  <si>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</si>
  <si>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</si>
  <si>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</si>
  <si>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</si>
  <si>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</si>
  <si>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</si>
  <si>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</si>
  <si>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</si>
  <si>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</si>
  <si>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</si>
  <si>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</si>
  <si>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</si>
  <si>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</si>
  <si>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</si>
  <si>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</si>
  <si>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</si>
  <si>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</si>
  <si>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</si>
  <si>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</si>
  <si>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</si>
  <si>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</si>
  <si>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</si>
  <si>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</si>
  <si>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</si>
  <si>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</si>
  <si>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</si>
  <si>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</si>
  <si>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</si>
  <si>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</si>
  <si>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</si>
  <si>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</si>
  <si>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</si>
  <si>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</si>
  <si>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</si>
  <si>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</si>
  <si>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</si>
  <si>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</si>
  <si>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</si>
  <si>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</si>
  <si>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</si>
  <si>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</si>
  <si>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</si>
  <si>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</si>
  <si>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</si>
  <si>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</si>
  <si>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</si>
  <si>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</si>
  <si>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</si>
  <si>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</si>
  <si>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</si>
  <si>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</si>
  <si>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</si>
  <si>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</si>
  <si>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</si>
  <si>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</si>
  <si>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</si>
  <si>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</si>
  <si>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</si>
  <si>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</si>
  <si>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</si>
  <si>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</si>
  <si>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</si>
  <si>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</si>
  <si>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</si>
  <si>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</si>
  <si>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</si>
  <si>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</si>
  <si>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</si>
  <si>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</si>
  <si>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</si>
  <si>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</si>
  <si>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</si>
  <si>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</si>
  <si>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</si>
  <si>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</si>
  <si>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</si>
  <si>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</si>
  <si>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</si>
  <si>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</si>
  <si>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</si>
  <si>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</si>
  <si>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</si>
  <si>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</si>
  <si>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</si>
  <si>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</si>
  <si>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</si>
  <si>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</si>
  <si>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</si>
  <si>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</si>
  <si>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</si>
  <si>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</si>
  <si>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</si>
  <si>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</si>
  <si>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</si>
  <si>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</si>
  <si>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</si>
  <si>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</si>
  <si>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</si>
  <si>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</si>
  <si>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</si>
  <si>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</si>
  <si>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</si>
  <si>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</si>
  <si>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</si>
  <si>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</si>
  <si>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</si>
  <si>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</si>
  <si>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</si>
  <si>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</si>
  <si>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</si>
  <si>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</si>
  <si>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</si>
  <si>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</si>
  <si>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</si>
  <si>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</si>
  <si>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</si>
  <si>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</si>
  <si>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</si>
  <si>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</si>
  <si>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</si>
  <si>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</si>
  <si>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</si>
  <si>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</si>
  <si>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</si>
  <si>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</si>
  <si>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</si>
  <si>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</si>
  <si>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</si>
  <si>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</si>
  <si>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</si>
  <si>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</si>
  <si>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</si>
  <si>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</si>
  <si>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</si>
  <si>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</si>
  <si>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</si>
  <si>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</si>
  <si>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</si>
  <si>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</si>
  <si>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</si>
  <si>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</si>
  <si>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</si>
  <si>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</si>
  <si>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</si>
  <si>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</si>
  <si>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</si>
  <si>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</si>
  <si>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</si>
  <si>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</si>
  <si>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</si>
  <si>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</si>
  <si>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</si>
  <si>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</si>
  <si>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</si>
  <si>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</si>
  <si>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</si>
  <si>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</si>
  <si>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</si>
  <si>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</si>
  <si>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</si>
  <si>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</si>
  <si>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</si>
  <si>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</si>
  <si>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</si>
  <si>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</si>
  <si>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</si>
  <si>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</si>
  <si>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</si>
  <si>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</si>
  <si>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</si>
  <si>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</si>
  <si>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</si>
  <si>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</si>
  <si>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</si>
  <si>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</si>
  <si>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</si>
  <si>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</si>
  <si>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</si>
  <si>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</si>
  <si>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</si>
  <si>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</si>
  <si>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</si>
  <si>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</si>
  <si>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</si>
  <si>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</si>
  <si>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</si>
  <si>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</si>
  <si>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</si>
  <si>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</si>
  <si>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</si>
  <si>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</si>
  <si>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</si>
  <si>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</si>
  <si>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</si>
  <si>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</si>
  <si>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</si>
  <si>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</si>
  <si>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</si>
  <si>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</si>
  <si>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</si>
  <si>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</si>
  <si>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</si>
  <si>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</si>
  <si>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</si>
  <si>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</si>
  <si>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</si>
  <si>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</si>
  <si>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</si>
  <si>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</si>
  <si>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</si>
  <si>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</si>
  <si>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</si>
  <si>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</si>
  <si>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</si>
  <si>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</si>
  <si>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</si>
  <si>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</si>
  <si>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</si>
  <si>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</si>
  <si>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</si>
  <si>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</si>
  <si>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</si>
  <si>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</si>
  <si>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</si>
  <si>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</si>
  <si>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</si>
  <si>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</si>
  <si>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</si>
  <si>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</si>
  <si>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</si>
  <si>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</si>
  <si>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</si>
  <si>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</si>
  <si>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</si>
  <si>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</si>
  <si>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</si>
  <si>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</si>
  <si>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</si>
  <si>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</si>
  <si>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</si>
  <si>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</si>
  <si>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</si>
  <si>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</si>
  <si>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</si>
  <si>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</si>
  <si>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</si>
  <si>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</si>
  <si>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</si>
  <si>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</si>
  <si>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</si>
  <si>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</si>
  <si>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</si>
  <si>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</si>
  <si>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</si>
  <si>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</si>
  <si>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</si>
  <si>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</si>
  <si>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</si>
  <si>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</si>
  <si>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</si>
  <si>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</si>
  <si>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</si>
  <si>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</si>
  <si>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</si>
  <si>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</si>
  <si>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</si>
  <si>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</si>
  <si>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</si>
  <si>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</si>
  <si>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</si>
  <si>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</si>
  <si>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</si>
  <si>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</si>
  <si>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</si>
  <si>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</si>
  <si>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</si>
  <si>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</si>
  <si>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</si>
  <si>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</si>
  <si>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</si>
  <si>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</si>
  <si>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</si>
  <si>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</si>
  <si>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</si>
  <si>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</si>
  <si>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</si>
  <si>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</si>
  <si>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</si>
  <si>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</si>
  <si>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</si>
  <si>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</si>
  <si>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</si>
  <si>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</si>
  <si>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</si>
  <si>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</si>
  <si>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</si>
  <si>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</si>
  <si>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</si>
  <si>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</si>
  <si>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</si>
  <si>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</si>
  <si>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</si>
  <si>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</si>
  <si>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</si>
  <si>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</si>
  <si>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</si>
  <si>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</si>
  <si>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</si>
  <si>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</si>
  <si>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</si>
  <si>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</si>
  <si>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</si>
  <si>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</si>
  <si>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</si>
  <si>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</si>
  <si>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</si>
  <si>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</si>
  <si>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</si>
  <si>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</si>
  <si>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</si>
  <si>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</si>
  <si>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</si>
  <si>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</si>
  <si>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</si>
  <si>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</si>
  <si>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</si>
  <si>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</si>
  <si>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</si>
  <si>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</si>
  <si>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</si>
  <si>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</si>
  <si>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</si>
  <si>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</si>
  <si>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</si>
  <si>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</si>
  <si>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</si>
  <si>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</si>
  <si>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</si>
  <si>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</si>
  <si>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</si>
  <si>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</si>
  <si>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</si>
  <si>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</si>
  <si>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</si>
  <si>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</si>
  <si>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</si>
  <si>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</si>
  <si>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</si>
  <si>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</si>
  <si>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</si>
  <si>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</si>
  <si>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</si>
  <si>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</si>
  <si>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</si>
  <si>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</si>
  <si>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</si>
  <si>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</si>
  <si>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</si>
  <si>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</si>
  <si>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</si>
  <si>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</si>
  <si>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</si>
  <si>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</si>
  <si>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</si>
  <si>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</si>
  <si>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</si>
  <si>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</si>
  <si>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</si>
  <si>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</si>
  <si>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</si>
  <si>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</si>
  <si>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</si>
  <si>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</si>
  <si>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</si>
  <si>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</si>
  <si>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</si>
  <si>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</si>
  <si>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</si>
  <si>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</si>
  <si>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</si>
  <si>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</si>
  <si>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</si>
  <si>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</si>
  <si>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</si>
  <si>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</si>
  <si>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</si>
  <si>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</si>
  <si>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</si>
  <si>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</si>
  <si>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</si>
  <si>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</si>
  <si>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</si>
  <si>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</si>
  <si>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</si>
  <si>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</si>
  <si>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</si>
  <si>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</si>
  <si>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</si>
  <si>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</si>
  <si>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</si>
  <si>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</si>
  <si>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</si>
  <si>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</si>
  <si>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</si>
  <si>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</si>
  <si>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</si>
  <si>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</si>
  <si>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</si>
  <si>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</si>
  <si>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</si>
  <si>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</si>
  <si>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</si>
  <si>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</si>
  <si>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</si>
  <si>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</si>
  <si>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</si>
  <si>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</si>
  <si>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</si>
  <si>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</si>
  <si>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</si>
  <si>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</si>
  <si>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</si>
  <si>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</si>
  <si>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</si>
  <si>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</si>
  <si>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</si>
  <si>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</si>
  <si>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</si>
  <si>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</si>
  <si>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</si>
  <si>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</si>
  <si>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</si>
  <si>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</si>
  <si>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</si>
  <si>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</si>
  <si>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</si>
  <si>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</si>
  <si>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</si>
  <si>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</si>
  <si>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</si>
  <si>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</si>
  <si>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</si>
  <si>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</si>
  <si>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</si>
  <si>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</si>
  <si>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</si>
  <si>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</si>
  <si>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</si>
  <si>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</si>
  <si>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</si>
  <si>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</si>
  <si>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</si>
  <si>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</si>
  <si>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</si>
  <si>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</si>
  <si>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</si>
  <si>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</si>
  <si>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</si>
  <si>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</si>
  <si>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</si>
  <si>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</si>
  <si>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</si>
  <si>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</si>
  <si>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</si>
  <si>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</si>
  <si>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</si>
  <si>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</si>
  <si>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</si>
  <si>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</si>
  <si>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</si>
  <si>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</si>
  <si>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</si>
  <si>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</si>
  <si>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</si>
  <si>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</si>
  <si>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</si>
  <si>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</si>
  <si>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</si>
  <si>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</si>
  <si>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</si>
  <si>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</si>
  <si>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</si>
  <si>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</si>
  <si>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</si>
  <si>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</si>
  <si>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</si>
  <si>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</si>
  <si>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</si>
  <si>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</si>
  <si>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</si>
  <si>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</si>
  <si>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</si>
  <si>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</si>
  <si>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</si>
  <si>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</si>
  <si>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</si>
  <si>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</si>
  <si>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</si>
  <si>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</si>
  <si>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</si>
  <si>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</si>
  <si>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</si>
  <si>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</si>
  <si>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</si>
  <si>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</si>
  <si>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</si>
  <si>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</si>
  <si>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</si>
  <si>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</si>
  <si>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</si>
  <si>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</si>
  <si>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</si>
  <si>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</si>
  <si>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</si>
  <si>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</si>
  <si>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</si>
  <si>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</si>
  <si>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</si>
  <si>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</si>
  <si>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</si>
  <si>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</si>
  <si>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</si>
  <si>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</si>
  <si>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</si>
  <si>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</si>
  <si>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</si>
  <si>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</si>
  <si>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</si>
  <si>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</si>
  <si>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</si>
  <si>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</si>
  <si>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</si>
  <si>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</si>
  <si>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</si>
  <si>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</si>
  <si>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</si>
  <si>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</si>
  <si>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</si>
  <si>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</si>
  <si>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</si>
  <si>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</si>
  <si>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</si>
  <si>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</si>
  <si>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</si>
  <si>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</si>
  <si>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</si>
  <si>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</si>
  <si>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</si>
  <si>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</si>
  <si>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</si>
  <si>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</si>
  <si>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</si>
  <si>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</si>
  <si>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</si>
  <si>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</si>
  <si>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</si>
  <si>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</si>
  <si>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</si>
  <si>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</si>
  <si>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</si>
  <si>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</si>
  <si>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</si>
  <si>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</si>
  <si>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</si>
  <si>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</si>
  <si>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</si>
  <si>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</si>
  <si>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</si>
  <si>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</si>
  <si>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</si>
  <si>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</si>
  <si>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</si>
  <si>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</si>
  <si>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</si>
  <si>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</si>
  <si>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</si>
  <si>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</si>
  <si>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</si>
  <si>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</si>
  <si>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</si>
  <si>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</si>
  <si>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</si>
  <si>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</si>
  <si>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</si>
  <si>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</si>
  <si>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</si>
  <si>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</si>
  <si>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</si>
  <si>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</si>
  <si>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</si>
  <si>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</si>
  <si>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</si>
  <si>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</si>
  <si>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</si>
  <si>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</si>
  <si>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</si>
  <si>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</si>
  <si>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</si>
  <si>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</si>
  <si>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</si>
  <si>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</si>
  <si>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</si>
  <si>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</si>
  <si>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</si>
  <si>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</si>
  <si>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</si>
  <si>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</si>
  <si>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</si>
  <si>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</si>
  <si>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</si>
  <si>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</si>
  <si>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</si>
  <si>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</si>
  <si>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</si>
  <si>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</si>
  <si>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</si>
  <si>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</si>
  <si>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</si>
  <si>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</si>
  <si>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</si>
  <si>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</si>
  <si>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</si>
  <si>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</si>
  <si>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</si>
  <si>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</si>
  <si>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</si>
  <si>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</si>
  <si>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</si>
  <si>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</si>
  <si>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</si>
  <si>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</si>
  <si>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</si>
  <si>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</si>
  <si>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</si>
  <si>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</si>
  <si>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</si>
  <si>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</si>
  <si>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</si>
  <si>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</si>
  <si>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</si>
  <si>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</si>
  <si>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</si>
  <si>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</si>
  <si>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</si>
  <si>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</si>
  <si>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</si>
  <si>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</si>
  <si>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</si>
  <si>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</si>
  <si>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</si>
  <si>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</si>
  <si>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</si>
  <si>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</si>
  <si>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</si>
  <si>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</si>
  <si>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</si>
  <si>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</si>
  <si>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</si>
  <si>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</si>
  <si>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</si>
  <si>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</si>
  <si>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</si>
  <si>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</si>
  <si>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</si>
  <si>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</si>
  <si>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</si>
  <si>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</si>
  <si>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</si>
  <si>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</si>
  <si>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</si>
  <si>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</si>
  <si>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</si>
  <si>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</si>
  <si>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</si>
  <si>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</si>
  <si>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</si>
  <si>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</si>
  <si>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</si>
  <si>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</si>
  <si>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</si>
  <si>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</si>
  <si>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</si>
  <si>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</si>
  <si>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</si>
  <si>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</si>
  <si>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</si>
  <si>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</si>
  <si>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</si>
  <si>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</si>
  <si>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</si>
  <si>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</si>
  <si>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</si>
  <si>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</si>
  <si>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</si>
  <si>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</si>
  <si>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</si>
  <si>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</si>
  <si>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</si>
  <si>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</si>
  <si>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</si>
  <si>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</si>
  <si>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</si>
  <si>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</si>
  <si>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</si>
  <si>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</si>
  <si>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</si>
  <si>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</si>
  <si>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</si>
  <si>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</si>
  <si>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</si>
  <si>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</si>
  <si>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</si>
  <si>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</si>
  <si>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</si>
  <si>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</si>
  <si>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</si>
  <si>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</si>
  <si>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</si>
  <si>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</si>
  <si>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</si>
  <si>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</si>
  <si>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</si>
  <si>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</si>
  <si>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</si>
  <si>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</si>
  <si>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</si>
  <si>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</si>
  <si>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</si>
  <si>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</si>
  <si>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</si>
  <si>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</si>
  <si>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</si>
  <si>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</si>
  <si>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</si>
  <si>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</si>
  <si>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</si>
  <si>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</si>
  <si>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</si>
  <si>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</si>
  <si>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</si>
  <si>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</si>
  <si>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</si>
  <si>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</si>
  <si>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</si>
  <si>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</si>
  <si>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</si>
  <si>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</si>
  <si>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</si>
  <si>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</si>
  <si>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</si>
  <si>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</si>
  <si>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</si>
  <si>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</si>
  <si>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</si>
  <si>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</si>
  <si>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</si>
  <si>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</si>
  <si>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</si>
  <si>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</si>
  <si>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</si>
  <si>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</si>
  <si>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</si>
  <si>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</si>
  <si>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</si>
  <si>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</si>
  <si>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</si>
  <si>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</si>
  <si>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</si>
  <si>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</si>
  <si>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</si>
  <si>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</si>
  <si>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</si>
  <si>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</si>
  <si>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</si>
  <si>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</si>
  <si>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</si>
  <si>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</si>
  <si>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</si>
  <si>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</si>
  <si>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</si>
  <si>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</si>
  <si>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</si>
  <si>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</si>
  <si>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</si>
  <si>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</si>
  <si>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</si>
  <si>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</si>
  <si>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</si>
  <si>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</si>
  <si>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</si>
  <si>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</si>
  <si>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</si>
  <si>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</si>
  <si>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</si>
  <si>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</si>
  <si>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</si>
  <si>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</si>
  <si>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</si>
  <si>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</si>
  <si>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</si>
  <si>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</si>
  <si>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</si>
  <si>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</si>
  <si>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</si>
  <si>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</si>
  <si>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</si>
  <si>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</si>
  <si>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</si>
  <si>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</si>
  <si>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</si>
  <si>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</si>
  <si>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</si>
  <si>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</si>
  <si>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</si>
  <si>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</si>
  <si>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</si>
  <si>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</si>
  <si>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</si>
  <si>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</si>
  <si>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</si>
  <si>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</si>
  <si>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</si>
  <si>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</si>
  <si>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</si>
  <si>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</si>
  <si>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</si>
  <si>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</si>
  <si>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</si>
  <si>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</si>
  <si>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</si>
  <si>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</si>
  <si>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</si>
  <si>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</si>
  <si>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</si>
  <si>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</si>
  <si>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</si>
  <si>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</si>
  <si>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</si>
  <si>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</si>
  <si>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</si>
  <si>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</si>
  <si>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</si>
  <si>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</si>
  <si>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</si>
  <si>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</si>
  <si>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</si>
  <si>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</si>
  <si>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</si>
  <si>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</si>
  <si>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</si>
  <si>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</si>
  <si>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</si>
  <si>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</si>
  <si>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</si>
  <si>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</si>
  <si>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</si>
  <si>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</si>
  <si>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</si>
  <si>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</si>
  <si>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</si>
  <si>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</si>
  <si>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</si>
  <si>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</si>
  <si>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</si>
  <si>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</si>
  <si>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</si>
  <si>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</si>
  <si>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</si>
  <si>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</si>
  <si>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</si>
  <si>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</si>
  <si>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</si>
  <si>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</si>
  <si>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</si>
  <si>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</si>
  <si>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</si>
  <si>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</si>
  <si>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</si>
  <si>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</si>
  <si>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</si>
  <si>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</si>
  <si>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</si>
  <si>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</si>
  <si>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</si>
  <si>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</si>
  <si>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</si>
  <si>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</si>
  <si>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</si>
  <si>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</si>
  <si>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</si>
  <si>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</si>
  <si>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</si>
  <si>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</si>
  <si>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</si>
  <si>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</si>
  <si>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</si>
  <si>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</si>
  <si>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</si>
  <si>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</si>
  <si>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</si>
  <si>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</si>
  <si>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</si>
  <si>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</si>
  <si>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</si>
  <si>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</si>
  <si>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</si>
  <si>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</si>
  <si>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</si>
  <si>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</si>
  <si>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</si>
  <si>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</si>
  <si>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</si>
  <si>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</si>
  <si>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</si>
  <si>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</si>
  <si>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</si>
  <si>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</si>
  <si>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</si>
  <si>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</si>
  <si>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</si>
  <si>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</si>
  <si>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</si>
  <si>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</si>
  <si>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</si>
  <si>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</si>
  <si>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</si>
  <si>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</si>
  <si>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</si>
  <si>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</si>
  <si>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</si>
  <si>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</si>
  <si>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</si>
  <si>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</si>
  <si>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</si>
  <si>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</si>
  <si>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</si>
  <si>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</si>
  <si>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</si>
  <si>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</si>
  <si>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</si>
  <si>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</si>
  <si>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</si>
  <si>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</si>
  <si>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</si>
  <si>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</si>
  <si>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</si>
  <si>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</si>
  <si>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</si>
  <si>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</si>
  <si>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</si>
  <si>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</si>
  <si>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</si>
  <si>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</si>
  <si>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</si>
  <si>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</si>
  <si>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</si>
  <si>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</si>
  <si>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</si>
  <si>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</si>
  <si>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</si>
  <si>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</si>
  <si>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</si>
  <si>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</si>
  <si>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</si>
  <si>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</si>
  <si>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</si>
  <si>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</si>
  <si>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</si>
  <si>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</si>
  <si>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</si>
  <si>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</si>
  <si>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</si>
  <si>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</si>
  <si>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</si>
  <si>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</si>
  <si>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</si>
  <si>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</si>
  <si>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</si>
  <si>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</si>
  <si>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</si>
  <si>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</si>
  <si>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</si>
  <si>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</si>
  <si>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</si>
  <si>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</si>
  <si>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</si>
  <si>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</si>
  <si>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</si>
  <si>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</si>
  <si>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</si>
  <si>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</si>
  <si>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</si>
  <si>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</si>
  <si>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</si>
  <si>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</si>
  <si>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</si>
  <si>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</si>
  <si>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</si>
  <si>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</si>
  <si>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</si>
  <si>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</si>
  <si>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</si>
  <si>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</si>
  <si>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</si>
  <si>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</si>
  <si>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</si>
  <si>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</si>
  <si>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</si>
  <si>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</si>
  <si>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</si>
  <si>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</si>
  <si>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</si>
  <si>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</si>
  <si>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</si>
  <si>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</si>
  <si>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</si>
  <si>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</si>
  <si>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</si>
  <si>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</si>
  <si>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</si>
  <si>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</si>
  <si>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</si>
  <si>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</si>
  <si>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</si>
  <si>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</si>
  <si>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</si>
  <si>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</si>
  <si>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</si>
  <si>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</si>
  <si>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</si>
  <si>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</si>
  <si>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</si>
  <si>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</si>
  <si>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</si>
  <si>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</si>
  <si>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</si>
  <si>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</si>
  <si>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</si>
  <si>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</si>
  <si>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</si>
  <si>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</si>
  <si>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</si>
  <si>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</si>
  <si>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</si>
  <si>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</si>
  <si>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</si>
  <si>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</si>
  <si>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</si>
  <si>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</si>
  <si>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</si>
  <si>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</si>
  <si>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</si>
  <si>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</si>
  <si>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</si>
  <si>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</si>
  <si>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</si>
  <si>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</si>
  <si>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</si>
  <si>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</si>
  <si>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</si>
  <si>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</si>
  <si>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</si>
  <si>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</si>
  <si>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</si>
  <si>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</si>
  <si>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</si>
  <si>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</si>
  <si>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</si>
  <si>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</si>
  <si>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</si>
  <si>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</si>
  <si>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</si>
  <si>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</si>
  <si>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</si>
  <si>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</si>
  <si>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</si>
  <si>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</si>
  <si>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</si>
  <si>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</si>
  <si>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</si>
  <si>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</si>
  <si>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</si>
  <si>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</si>
  <si>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</si>
  <si>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</si>
  <si>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</si>
  <si>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</si>
  <si>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</si>
  <si>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</si>
  <si>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</si>
  <si>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</si>
  <si>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</si>
  <si>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</si>
  <si>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</si>
  <si>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</si>
  <si>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</si>
  <si>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</si>
  <si>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</si>
  <si>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</si>
  <si>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</si>
  <si>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</si>
  <si>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</si>
  <si>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</si>
  <si>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</si>
  <si>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</si>
  <si>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</si>
  <si>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</si>
  <si>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</si>
  <si>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</si>
  <si>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</si>
  <si>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</si>
  <si>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</si>
  <si>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</si>
  <si>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</si>
  <si>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</si>
  <si>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</si>
  <si>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</si>
  <si>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</si>
  <si>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</si>
  <si>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</si>
  <si>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</si>
  <si>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</si>
  <si>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</si>
  <si>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</si>
  <si>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</si>
  <si>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</si>
  <si>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</si>
  <si>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</si>
  <si>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</si>
  <si>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</si>
  <si>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</si>
  <si>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</si>
  <si>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</si>
  <si>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</si>
  <si>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</si>
  <si>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</si>
  <si>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</si>
  <si>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</si>
  <si>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</si>
  <si>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</si>
  <si>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</si>
  <si>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</si>
  <si>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</si>
  <si>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</si>
  <si>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</si>
  <si>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</si>
  <si>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</si>
  <si>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</si>
  <si>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</si>
  <si>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</si>
  <si>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</si>
  <si>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</si>
  <si>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</si>
  <si>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</si>
  <si>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</si>
  <si>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</si>
  <si>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</si>
  <si>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</si>
  <si>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</si>
  <si>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</si>
  <si>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</si>
  <si>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</si>
  <si>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</si>
  <si>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</si>
  <si>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</si>
  <si>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</si>
  <si>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</si>
  <si>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</si>
  <si>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</si>
  <si>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</si>
  <si>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</si>
  <si>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</si>
  <si>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</si>
  <si>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</si>
  <si>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</si>
  <si>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</si>
  <si>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</si>
  <si>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</si>
  <si>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</si>
  <si>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</si>
  <si>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</si>
  <si>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</si>
  <si>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</si>
  <si>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</si>
  <si>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</si>
  <si>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</si>
  <si>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</si>
  <si>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</si>
  <si>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</si>
  <si>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</si>
  <si>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</si>
  <si>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</si>
  <si>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</si>
  <si>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</si>
  <si>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</si>
  <si>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</si>
  <si>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</si>
  <si>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</si>
  <si>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</si>
  <si>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</si>
  <si>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</si>
  <si>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</si>
  <si>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</si>
  <si>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</si>
  <si>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</si>
  <si>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</si>
  <si>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</si>
  <si>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</si>
  <si>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</si>
  <si>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</si>
  <si>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</si>
  <si>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</si>
  <si>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</si>
  <si>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</si>
  <si>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</si>
  <si>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</si>
  <si>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</si>
  <si>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</si>
  <si>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</si>
  <si>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</si>
  <si>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</si>
  <si>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</si>
  <si>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</si>
  <si>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</si>
  <si>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</si>
  <si>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</si>
  <si>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</si>
  <si>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</si>
  <si>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</si>
  <si>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</si>
  <si>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</si>
  <si>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</si>
  <si>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</si>
  <si>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</si>
  <si>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</si>
  <si>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</si>
  <si>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</si>
  <si>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</si>
  <si>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</si>
  <si>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</si>
  <si>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</si>
  <si>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</si>
  <si>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</si>
  <si>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</si>
  <si>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</si>
  <si>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</si>
  <si>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</si>
  <si>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</si>
  <si>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</si>
  <si>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</si>
  <si>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</si>
  <si>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</si>
  <si>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</si>
  <si>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</si>
  <si>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</si>
  <si>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</si>
  <si>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</si>
  <si>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</si>
  <si>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</si>
  <si>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</si>
  <si>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</si>
  <si>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</si>
  <si>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</si>
  <si>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</si>
  <si>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</si>
  <si>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</si>
  <si>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</si>
  <si>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</si>
  <si>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</si>
  <si>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</si>
  <si>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</si>
  <si>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</si>
  <si>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</si>
  <si>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</si>
  <si>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</si>
  <si>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</si>
  <si>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</si>
  <si>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</si>
  <si>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</si>
  <si>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</si>
  <si>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</si>
  <si>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</si>
  <si>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</si>
  <si>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</si>
  <si>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</si>
  <si>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</si>
  <si>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</si>
  <si>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</si>
  <si>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</si>
  <si>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</si>
  <si>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</si>
  <si>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</si>
  <si>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</si>
  <si>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</si>
  <si>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</si>
  <si>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</si>
  <si>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</si>
  <si>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</si>
  <si>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</si>
  <si>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</si>
  <si>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</si>
  <si>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</si>
  <si>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</si>
  <si>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</si>
  <si>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</si>
  <si>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</si>
  <si>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</si>
  <si>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</si>
  <si>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</si>
  <si>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</si>
  <si>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</si>
  <si>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</si>
  <si>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</si>
  <si>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</si>
  <si>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</si>
  <si>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</si>
  <si>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</si>
  <si>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</si>
  <si>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</si>
  <si>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</si>
  <si>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</si>
  <si>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</si>
  <si>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</si>
  <si>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</si>
  <si>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</si>
  <si>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</si>
  <si>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</si>
  <si>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</si>
  <si>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</si>
  <si>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</si>
  <si>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</si>
  <si>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</si>
  <si>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</si>
  <si>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</si>
  <si>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</si>
  <si>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</si>
  <si>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</si>
  <si>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</si>
  <si>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</si>
  <si>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</si>
  <si>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</si>
  <si>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</si>
  <si>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</si>
  <si>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</si>
  <si>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</si>
  <si>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</si>
  <si>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</si>
  <si>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</si>
  <si>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</si>
  <si>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</si>
  <si>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</si>
  <si>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</si>
  <si>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</si>
  <si>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</si>
  <si>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</si>
  <si>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</si>
  <si>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</si>
  <si>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</si>
  <si>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</si>
  <si>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</si>
  <si>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</si>
  <si>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</si>
  <si>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</si>
  <si>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</si>
  <si>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</si>
  <si>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</si>
  <si>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</si>
  <si>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</si>
  <si>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</si>
  <si>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</si>
  <si>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</si>
  <si>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</si>
  <si>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</si>
  <si>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</si>
  <si>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</si>
  <si>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</si>
  <si>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</si>
  <si>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</si>
  <si>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</si>
  <si>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</si>
  <si>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</si>
  <si>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</si>
  <si>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</si>
  <si>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</si>
  <si>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</si>
  <si>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</si>
  <si>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</si>
  <si>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</si>
  <si>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</si>
  <si>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</si>
  <si>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</si>
  <si>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</si>
  <si>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</si>
  <si>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</si>
  <si>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</si>
  <si>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</si>
  <si>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</si>
  <si>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</si>
  <si>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</si>
  <si>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</si>
  <si>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</si>
  <si>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</si>
  <si>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</si>
  <si>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</si>
  <si>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</si>
  <si>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</si>
  <si>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</si>
  <si>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</si>
  <si>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</si>
  <si>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</si>
  <si>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</si>
  <si>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</si>
  <si>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</si>
  <si>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</si>
  <si>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</si>
  <si>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</si>
  <si>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</si>
  <si>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</si>
  <si>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</si>
  <si>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</si>
  <si>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</si>
  <si>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</si>
  <si>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</si>
  <si>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</si>
  <si>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</si>
  <si>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</si>
  <si>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</si>
  <si>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</si>
  <si>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</si>
  <si>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</si>
  <si>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</si>
  <si>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</si>
  <si>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</si>
  <si>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</si>
  <si>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</si>
  <si>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</si>
  <si>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</si>
  <si>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</si>
  <si>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</si>
  <si>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</si>
  <si>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</si>
  <si>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</si>
  <si>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</si>
  <si>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</si>
  <si>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</si>
  <si>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</si>
  <si>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</si>
  <si>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</si>
  <si>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</si>
  <si>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</si>
  <si>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</si>
  <si>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</si>
  <si>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</si>
  <si>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</si>
  <si>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</si>
  <si>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</si>
  <si>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</si>
  <si>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</si>
  <si>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</si>
  <si>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</si>
  <si>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</si>
  <si>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</si>
  <si>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</si>
  <si>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</si>
  <si>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</si>
  <si>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</si>
  <si>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</si>
  <si>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</si>
  <si>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</si>
  <si>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</si>
  <si>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</si>
  <si>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</si>
  <si>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</si>
  <si>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</si>
  <si>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</si>
  <si>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</si>
  <si>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</si>
  <si>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</si>
  <si>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</si>
  <si>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</si>
  <si>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</si>
  <si>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</si>
  <si>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</si>
  <si>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</si>
  <si>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</si>
  <si>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</si>
  <si>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</si>
  <si>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</si>
  <si>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</si>
  <si>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</si>
  <si>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</si>
  <si>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</si>
  <si>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</si>
  <si>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</si>
  <si>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</si>
  <si>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</si>
  <si>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</si>
  <si>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</si>
  <si>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</si>
  <si>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</si>
  <si>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</si>
  <si>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</si>
  <si>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</si>
  <si>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</si>
  <si>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</si>
  <si>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</si>
  <si>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</si>
  <si>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</si>
  <si>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</si>
  <si>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</si>
  <si>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</si>
  <si>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</si>
  <si>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</si>
  <si>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</si>
  <si>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</si>
  <si>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</si>
  <si>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</si>
  <si>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</si>
  <si>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</si>
  <si>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</si>
  <si>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</si>
  <si>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</si>
  <si>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</si>
  <si>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</si>
  <si>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</si>
  <si>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</si>
  <si>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</si>
  <si>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</si>
  <si>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</si>
  <si>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</si>
  <si>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</si>
  <si>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</si>
  <si>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</si>
  <si>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</si>
  <si>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</si>
  <si>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</si>
  <si>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</si>
  <si>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</si>
  <si>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</si>
  <si>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</si>
  <si>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</si>
  <si>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</si>
  <si>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</si>
  <si>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</si>
  <si>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</si>
  <si>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</si>
  <si>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</si>
  <si>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</si>
  <si>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</si>
  <si>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</si>
  <si>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</si>
  <si>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</si>
  <si>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</si>
  <si>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</si>
  <si>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</si>
  <si>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</si>
  <si>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</si>
  <si>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</si>
  <si>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</si>
  <si>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</si>
  <si>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</si>
  <si>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</si>
  <si>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</si>
  <si>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</si>
  <si>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</si>
  <si>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</si>
  <si>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</si>
  <si>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</si>
  <si>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</si>
  <si>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</si>
  <si>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</si>
  <si>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</si>
  <si>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</si>
  <si>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</si>
  <si>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</si>
  <si>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</si>
  <si>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</si>
  <si>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</si>
  <si>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</si>
  <si>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</si>
  <si>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</si>
  <si>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</si>
  <si>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</si>
  <si>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</si>
  <si>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</si>
  <si>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</si>
  <si>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</si>
  <si>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</si>
  <si>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</si>
  <si>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</si>
  <si>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</si>
  <si>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</si>
  <si>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</si>
  <si>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</si>
  <si>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</si>
  <si>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</si>
  <si>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</si>
  <si>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</si>
  <si>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</si>
  <si>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</si>
  <si>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</si>
  <si>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</si>
  <si>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</si>
  <si>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</si>
  <si>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</si>
  <si>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</si>
  <si>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</si>
  <si>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</si>
  <si>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</si>
  <si>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</si>
  <si>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</si>
  <si>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</si>
  <si>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</si>
  <si>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</si>
  <si>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</si>
  <si>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</si>
  <si>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</si>
  <si>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</si>
  <si>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</si>
  <si>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</si>
  <si>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</si>
  <si>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</si>
  <si>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</si>
  <si>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</si>
  <si>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</si>
  <si>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</si>
  <si>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</si>
  <si>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</si>
  <si>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</si>
  <si>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</si>
  <si>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</si>
  <si>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</si>
  <si>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</si>
  <si>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</si>
  <si>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</si>
  <si>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</si>
  <si>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</si>
  <si>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</si>
  <si>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</si>
  <si>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</si>
  <si>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</si>
  <si>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</si>
  <si>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</si>
  <si>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</si>
  <si>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</si>
  <si>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</si>
  <si>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</si>
  <si>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</si>
  <si>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</si>
  <si>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</si>
  <si>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</si>
  <si>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</si>
  <si>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</si>
  <si>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</si>
  <si>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</si>
  <si>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</si>
  <si>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</si>
  <si>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</si>
  <si>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</si>
  <si>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</si>
  <si>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</si>
  <si>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</si>
  <si>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</si>
  <si>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</si>
  <si>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</si>
  <si>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</si>
  <si>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</si>
  <si>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</si>
  <si>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</si>
  <si>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</si>
  <si>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</si>
  <si>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</si>
  <si>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</si>
  <si>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</si>
  <si>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</si>
  <si>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</si>
  <si>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</si>
  <si>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</si>
  <si>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</si>
  <si>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</si>
  <si>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</si>
  <si>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</si>
  <si>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</si>
  <si>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</si>
  <si>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</si>
  <si>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</si>
  <si>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</si>
  <si>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</si>
  <si>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</si>
  <si>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</si>
  <si>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</si>
  <si>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</si>
  <si>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</si>
  <si>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</si>
  <si>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</si>
  <si>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</si>
  <si>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</si>
  <si>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</si>
  <si>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</si>
  <si>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</si>
  <si>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</si>
  <si>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</si>
  <si>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</si>
  <si>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</si>
  <si>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</si>
  <si>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</si>
  <si>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</si>
  <si>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</si>
  <si>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</si>
  <si>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</si>
  <si>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</si>
  <si>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</si>
  <si>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</si>
  <si>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</si>
  <si>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</si>
  <si>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</si>
  <si>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</si>
  <si>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</si>
  <si>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</si>
  <si>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</si>
  <si>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</si>
  <si>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</si>
  <si>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</si>
  <si>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</si>
  <si>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</si>
  <si>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</si>
  <si>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</si>
  <si>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</si>
  <si>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</si>
  <si>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</si>
  <si>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</si>
  <si>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</si>
  <si>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</si>
  <si>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</si>
  <si>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</si>
  <si>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</si>
  <si>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</si>
  <si>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</si>
  <si>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</si>
  <si>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</si>
  <si>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</si>
  <si>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</si>
  <si>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</si>
  <si>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</si>
  <si>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</si>
  <si>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</si>
  <si>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</si>
  <si>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</si>
  <si>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</si>
  <si>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</si>
  <si>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</si>
  <si>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</si>
  <si>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</si>
  <si>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</si>
  <si>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</si>
  <si>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</si>
  <si>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</si>
  <si>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</si>
  <si>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</si>
  <si>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</si>
  <si>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</si>
  <si>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</si>
  <si>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</si>
  <si>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</si>
  <si>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</si>
  <si>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</si>
  <si>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</si>
  <si>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</si>
  <si>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</si>
  <si>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</si>
  <si>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</si>
  <si>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</si>
  <si>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</si>
  <si>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</si>
  <si>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</si>
  <si>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</si>
  <si>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</si>
  <si>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</si>
  <si>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</si>
  <si>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</si>
  <si>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</si>
  <si>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</si>
  <si>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</si>
  <si>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</si>
  <si>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</si>
  <si>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</si>
  <si>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</si>
  <si>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</si>
  <si>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</si>
  <si>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</si>
  <si>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</si>
  <si>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</si>
  <si>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</si>
  <si>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</si>
  <si>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</si>
  <si>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</si>
  <si>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</si>
  <si>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</si>
  <si>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</si>
  <si>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</si>
  <si>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</si>
  <si>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</si>
  <si>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</si>
  <si>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</si>
  <si>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</si>
  <si>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</si>
  <si>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</si>
  <si>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</si>
  <si>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</si>
  <si>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</si>
  <si>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</si>
  <si>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</si>
  <si>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</si>
  <si>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</si>
  <si>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</si>
  <si>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</si>
  <si>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</si>
  <si>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</si>
  <si>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</si>
  <si>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</si>
  <si>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</si>
  <si>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</si>
  <si>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</si>
  <si>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</si>
  <si>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</si>
  <si>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</si>
  <si>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</si>
  <si>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</si>
  <si>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</si>
  <si>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</si>
  <si>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</si>
  <si>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</si>
  <si>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</si>
  <si>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</si>
  <si>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</si>
  <si>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</si>
  <si>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</si>
  <si>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</si>
  <si>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</si>
  <si>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</si>
  <si>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</si>
  <si>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</si>
  <si>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</si>
  <si>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</si>
  <si>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</si>
  <si>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</si>
  <si>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</si>
  <si>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</si>
  <si>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</si>
  <si>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</si>
  <si>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</si>
  <si>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</si>
  <si>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</si>
  <si>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</si>
  <si>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</si>
  <si>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</si>
  <si>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</si>
  <si>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</si>
  <si>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</si>
  <si>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</si>
  <si>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</si>
  <si>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</si>
  <si>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</si>
  <si>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</si>
  <si>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</si>
  <si>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</si>
  <si>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</si>
  <si>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</si>
  <si>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</si>
  <si>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</si>
  <si>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</si>
  <si>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</si>
  <si>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</si>
  <si>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</si>
  <si>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</si>
  <si>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</si>
  <si>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</si>
  <si>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</si>
  <si>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</si>
  <si>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</si>
  <si>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</si>
  <si>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</si>
  <si>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</si>
  <si>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</si>
  <si>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</si>
  <si>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</si>
  <si>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</si>
  <si>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</si>
  <si>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</si>
  <si>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</si>
  <si>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</si>
  <si>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</si>
  <si>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</si>
  <si>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</si>
  <si>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</si>
  <si>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</si>
  <si>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</si>
  <si>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</si>
  <si>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</si>
  <si>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</si>
  <si>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</si>
  <si>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</si>
  <si>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</si>
  <si>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</si>
  <si>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</si>
  <si>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</si>
  <si>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</si>
  <si>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</si>
  <si>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</si>
  <si>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</si>
  <si>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</si>
  <si>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</si>
  <si>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</si>
  <si>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</si>
  <si>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</si>
  <si>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</si>
  <si>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</si>
  <si>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</si>
  <si>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</si>
  <si>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</si>
  <si>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</si>
  <si>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</si>
  <si>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</si>
  <si>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</si>
  <si>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</si>
  <si>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</si>
  <si>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</si>
  <si>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</si>
  <si>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</si>
  <si>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</si>
  <si>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</si>
  <si>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</si>
  <si>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</si>
  <si>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</si>
  <si>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</si>
  <si>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</si>
  <si>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</si>
  <si>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</si>
  <si>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</si>
  <si>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</si>
  <si>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</si>
  <si>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</si>
  <si>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</si>
  <si>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</si>
  <si>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</si>
  <si>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</si>
  <si>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</si>
  <si>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</si>
  <si>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</si>
  <si>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</si>
  <si>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</si>
  <si>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</si>
  <si>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</si>
  <si>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</si>
  <si>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</si>
  <si>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</si>
  <si>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</si>
  <si>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</si>
  <si>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</si>
  <si>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</si>
  <si>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</si>
  <si>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</si>
  <si>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</si>
  <si>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</si>
  <si>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</si>
  <si>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</si>
  <si>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</si>
  <si>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</si>
  <si>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</si>
  <si>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</si>
  <si>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</si>
  <si>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</si>
  <si>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</si>
  <si>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</si>
  <si>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</si>
  <si>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</si>
  <si>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</si>
  <si>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</si>
  <si>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</si>
  <si>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</si>
  <si>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</si>
  <si>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</si>
  <si>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</si>
  <si>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</si>
  <si>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</si>
  <si>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</si>
  <si>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</si>
  <si>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</si>
  <si>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</si>
  <si>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</si>
  <si>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</si>
  <si>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</si>
  <si>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</si>
  <si>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</si>
  <si>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</si>
  <si>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</si>
  <si>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</si>
  <si>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</si>
  <si>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</si>
  <si>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</si>
  <si>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</si>
  <si>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</si>
  <si>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</si>
  <si>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</si>
  <si>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</si>
  <si>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</si>
  <si>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</si>
  <si>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</si>
  <si>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</si>
  <si>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</si>
  <si>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</si>
  <si>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</si>
  <si>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</si>
  <si>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</si>
  <si>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</si>
  <si>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</si>
  <si>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</si>
  <si>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</si>
  <si>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</si>
  <si>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</si>
  <si>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</si>
  <si>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</si>
  <si>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</si>
  <si>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</si>
  <si>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</si>
  <si>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</si>
  <si>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</si>
  <si>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</si>
  <si>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</si>
  <si>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</si>
  <si>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</si>
  <si>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</si>
  <si>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</si>
  <si>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</si>
  <si>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</si>
  <si>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</si>
  <si>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</si>
  <si>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</si>
  <si>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</si>
  <si>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</si>
  <si>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</si>
  <si>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</si>
  <si>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</si>
  <si>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</si>
  <si>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</si>
  <si>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</si>
  <si>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</si>
  <si>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</si>
  <si>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</si>
  <si>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</si>
  <si>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</si>
  <si>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</si>
  <si>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</si>
  <si>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</si>
  <si>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</si>
  <si>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</si>
  <si>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</si>
  <si>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</si>
  <si>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</si>
  <si>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</si>
  <si>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</si>
  <si>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</si>
  <si>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</si>
  <si>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</si>
  <si>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</si>
  <si>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</si>
  <si>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</si>
  <si>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</si>
  <si>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</si>
  <si>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</si>
  <si>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</si>
  <si>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</si>
  <si>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</si>
  <si>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</si>
  <si>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</si>
  <si>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</si>
  <si>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</si>
  <si>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</si>
  <si>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</si>
  <si>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</si>
  <si>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</si>
  <si>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</si>
  <si>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</si>
  <si>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</si>
  <si>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</si>
  <si>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</si>
  <si>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</si>
  <si>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</si>
  <si>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</si>
  <si>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</si>
  <si>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</si>
  <si>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</si>
  <si>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</si>
  <si>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</si>
  <si>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</si>
  <si>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</si>
  <si>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</si>
  <si>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</si>
  <si>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</si>
  <si>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</si>
  <si>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</si>
  <si>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</si>
  <si>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</si>
  <si>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</si>
  <si>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</si>
  <si>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</si>
  <si>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</si>
  <si>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</si>
  <si>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</si>
  <si>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</si>
  <si>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</si>
  <si>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</si>
  <si>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</si>
  <si>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</si>
  <si>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</si>
  <si>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</si>
  <si>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</si>
  <si>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</si>
  <si>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</si>
  <si>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</si>
  <si>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</si>
  <si>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</si>
  <si>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</si>
  <si>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</si>
  <si>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</si>
  <si>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</si>
  <si>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</si>
  <si>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</si>
  <si>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</si>
  <si>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</si>
  <si>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</si>
  <si>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</si>
  <si>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</si>
  <si>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</si>
  <si>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</si>
  <si>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</si>
  <si>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</si>
  <si>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</si>
  <si>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</si>
  <si>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</si>
  <si>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</si>
  <si>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</si>
  <si>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</si>
  <si>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</si>
  <si>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</si>
  <si>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</si>
  <si>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</si>
  <si>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</si>
  <si>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</si>
  <si>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</si>
  <si>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</si>
  <si>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</si>
  <si>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</si>
  <si>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</si>
  <si>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</si>
  <si>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</si>
  <si>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</si>
  <si>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</si>
  <si>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</si>
  <si>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</si>
  <si>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</si>
  <si>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</si>
  <si>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</si>
  <si>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</si>
  <si>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</si>
  <si>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</si>
  <si>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</si>
  <si>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</si>
  <si>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</si>
  <si>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</si>
  <si>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</si>
  <si>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</si>
  <si>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</si>
  <si>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</si>
  <si>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</si>
  <si>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</si>
  <si>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</si>
  <si>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</si>
  <si>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</si>
  <si>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</si>
  <si>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</si>
  <si>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</si>
  <si>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</si>
  <si>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</si>
  <si>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</si>
  <si>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</si>
  <si>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</si>
  <si>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</si>
  <si>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</si>
  <si>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</si>
  <si>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</si>
  <si>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</si>
  <si>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</si>
  <si>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</si>
  <si>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</si>
  <si>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</si>
  <si>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</si>
  <si>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</si>
  <si>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</si>
  <si>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</si>
  <si>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</si>
  <si>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</si>
  <si>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</si>
  <si>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</si>
  <si>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</si>
  <si>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</si>
  <si>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</si>
  <si>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</si>
  <si>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</si>
  <si>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</si>
  <si>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</si>
  <si>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</si>
  <si>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</si>
  <si>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</si>
  <si>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</si>
  <si>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</si>
  <si>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</si>
  <si>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</si>
  <si>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</si>
  <si>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</si>
  <si>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</si>
  <si>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</si>
  <si>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</si>
  <si>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</si>
  <si>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</si>
  <si>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</si>
  <si>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</si>
  <si>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</si>
  <si>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</si>
  <si>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</si>
  <si>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</si>
  <si>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</si>
  <si>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</si>
  <si>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</si>
  <si>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</si>
  <si>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</si>
  <si>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</si>
  <si>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</si>
  <si>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</si>
  <si>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</si>
  <si>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</si>
  <si>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</si>
  <si>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</si>
  <si>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</si>
  <si>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</si>
  <si>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</si>
  <si>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</si>
  <si>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</si>
  <si>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</si>
  <si>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</si>
  <si>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</si>
  <si>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</si>
  <si>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</si>
  <si>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</si>
  <si>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</si>
  <si>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</si>
  <si>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</si>
  <si>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</si>
  <si>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</si>
  <si>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</si>
  <si>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</si>
  <si>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</si>
  <si>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</si>
  <si>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</si>
  <si>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</si>
  <si>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</si>
  <si>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</si>
  <si>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</si>
  <si>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</si>
  <si>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</si>
  <si>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</si>
  <si>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</si>
  <si>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</si>
  <si>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</si>
  <si>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</si>
  <si>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</si>
  <si>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</si>
  <si>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</si>
  <si>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</si>
  <si>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</si>
  <si>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</si>
  <si>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</si>
  <si>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</si>
  <si>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</si>
  <si>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</si>
  <si>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</si>
  <si>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</si>
  <si>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</si>
  <si>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</si>
  <si>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</si>
  <si>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</si>
  <si>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</si>
  <si>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</si>
  <si>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</si>
  <si>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</si>
  <si>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</si>
  <si>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</si>
  <si>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</si>
  <si>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</si>
  <si>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</si>
  <si>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</si>
  <si>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</si>
  <si>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</si>
  <si>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</si>
  <si>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</si>
  <si>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</si>
  <si>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</si>
  <si>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</si>
  <si>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</si>
  <si>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</si>
  <si>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</si>
  <si>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</si>
  <si>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</si>
  <si>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</si>
  <si>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</si>
  <si>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</si>
  <si>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</si>
  <si>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</si>
  <si>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</si>
  <si>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</si>
  <si>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</si>
  <si>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</si>
  <si>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</si>
  <si>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</si>
  <si>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</si>
  <si>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</si>
  <si>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</si>
  <si>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</si>
  <si>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</si>
  <si>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</si>
  <si>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</si>
  <si>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</si>
  <si>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</si>
  <si>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</si>
  <si>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</si>
  <si>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</si>
  <si>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</si>
  <si>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</si>
  <si>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</si>
  <si>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</si>
  <si>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</si>
  <si>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</si>
  <si>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</si>
  <si>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</si>
  <si>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</si>
  <si>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</si>
  <si>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</si>
  <si>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</si>
  <si>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</si>
  <si>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</si>
  <si>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</si>
  <si>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</si>
  <si>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</si>
  <si>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</si>
  <si>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</si>
  <si>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</si>
  <si>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</si>
  <si>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</si>
  <si>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</si>
  <si>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</si>
  <si>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</si>
  <si>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</si>
  <si>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</si>
  <si>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</si>
  <si>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</si>
  <si>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</si>
  <si>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</si>
  <si>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</si>
  <si>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</si>
  <si>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</si>
  <si>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</si>
  <si>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</si>
  <si>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</si>
  <si>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</si>
  <si>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</si>
  <si>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</si>
  <si>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</si>
  <si>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</si>
  <si>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</si>
  <si>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</si>
  <si>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</si>
  <si>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</si>
  <si>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</si>
  <si>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</si>
  <si>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</si>
  <si>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</si>
  <si>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</si>
  <si>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</si>
  <si>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</si>
  <si>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</si>
  <si>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</si>
  <si>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</si>
  <si>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</si>
  <si>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</si>
  <si>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</si>
  <si>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</si>
  <si>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</si>
  <si>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</si>
  <si>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</si>
  <si>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</si>
  <si>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</si>
  <si>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</si>
  <si>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</si>
  <si>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</si>
  <si>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</si>
  <si>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</si>
  <si>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</si>
  <si>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</si>
  <si>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</si>
  <si>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</si>
  <si>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</si>
  <si>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</si>
  <si>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</si>
  <si>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</si>
  <si>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</si>
  <si>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</si>
  <si>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</si>
  <si>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</si>
  <si>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</si>
  <si>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</si>
  <si>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</si>
  <si>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</si>
  <si>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</si>
  <si>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</si>
  <si>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</si>
  <si>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</si>
  <si>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</si>
  <si>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</si>
  <si>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</si>
  <si>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</si>
  <si>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</si>
  <si>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</si>
  <si>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</si>
  <si>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</si>
  <si>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</si>
  <si>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</si>
  <si>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</si>
  <si>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</si>
  <si>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</si>
  <si>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</si>
  <si>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</si>
  <si>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</si>
  <si>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</si>
  <si>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</si>
  <si>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</si>
  <si>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</si>
  <si>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</si>
  <si>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</si>
  <si>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</si>
  <si>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</si>
  <si>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</si>
  <si>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</si>
  <si>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</si>
  <si>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</si>
  <si>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</si>
  <si>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</si>
  <si>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</si>
  <si>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</si>
  <si>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</si>
  <si>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</si>
  <si>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</si>
  <si>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</si>
  <si>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</si>
  <si>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</si>
  <si>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</si>
  <si>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</si>
  <si>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</si>
  <si>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</si>
  <si>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</si>
  <si>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</si>
  <si>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</si>
  <si>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</si>
  <si>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</si>
  <si>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</si>
  <si>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</si>
  <si>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</si>
  <si>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</si>
  <si>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</si>
  <si>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</si>
  <si>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</si>
  <si>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</si>
  <si>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</si>
  <si>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</si>
  <si>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</si>
  <si>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</si>
  <si>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</si>
  <si>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</si>
  <si>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</si>
  <si>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</si>
  <si>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</si>
  <si>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</si>
  <si>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</si>
  <si>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</si>
  <si>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</si>
  <si>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</si>
  <si>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</si>
  <si>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</si>
  <si>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</si>
  <si>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</si>
  <si>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</si>
  <si>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</si>
  <si>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</si>
  <si>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</si>
  <si>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</si>
  <si>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</si>
  <si>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</si>
  <si>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</si>
  <si>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</si>
  <si>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</si>
  <si>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</si>
  <si>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</si>
  <si>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</si>
  <si>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</si>
  <si>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</si>
  <si>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</si>
  <si>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</si>
  <si>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</si>
  <si>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</si>
  <si>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</si>
  <si>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</si>
  <si>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</si>
  <si>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</si>
  <si>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</si>
  <si>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</si>
  <si>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</si>
  <si>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</si>
  <si>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</si>
  <si>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</si>
  <si>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</si>
  <si>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</si>
  <si>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</si>
  <si>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</si>
  <si>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</si>
  <si>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</si>
  <si>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</si>
  <si>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</si>
  <si>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</si>
  <si>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</si>
  <si>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</si>
  <si>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</si>
  <si>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</si>
  <si>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</si>
  <si>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</si>
  <si>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</si>
  <si>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</si>
  <si>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</si>
  <si>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</si>
  <si>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</si>
  <si>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</si>
  <si>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</si>
  <si>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</si>
  <si>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</si>
  <si>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</si>
  <si>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</si>
  <si>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</si>
  <si>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</si>
  <si>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</si>
  <si>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</si>
  <si>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</si>
  <si>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</si>
  <si>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</si>
  <si>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</si>
  <si>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</si>
  <si>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</si>
  <si>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</si>
  <si>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</si>
  <si>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</si>
  <si>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</si>
  <si>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</si>
  <si>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</si>
  <si>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</si>
  <si>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</si>
  <si>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</si>
  <si>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</si>
  <si>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</si>
  <si>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</si>
  <si>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</si>
  <si>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</si>
  <si>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</si>
  <si>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</si>
  <si>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</si>
  <si>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</si>
  <si>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</si>
  <si>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</si>
  <si>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</si>
  <si>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</si>
  <si>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</si>
  <si>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</si>
  <si>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</si>
  <si>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</si>
  <si>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</si>
  <si>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</si>
  <si>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</si>
  <si>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</si>
  <si>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</si>
  <si>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</si>
  <si>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</si>
  <si>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</si>
  <si>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</si>
  <si>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</si>
  <si>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</si>
  <si>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</si>
  <si>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</si>
  <si>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</si>
  <si>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</si>
  <si>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</si>
  <si>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</si>
  <si>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</si>
  <si>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</si>
  <si>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</si>
  <si>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</si>
  <si>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</si>
  <si>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</si>
  <si>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</si>
  <si>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</si>
  <si>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</si>
  <si>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</si>
  <si>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</si>
  <si>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</si>
  <si>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</si>
  <si>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</si>
  <si>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</si>
  <si>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</si>
  <si>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</si>
  <si>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</si>
  <si>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</si>
  <si>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</si>
  <si>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</si>
  <si>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</si>
  <si>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t>
  </si>
  <si>
    <t>Oct</t>
  </si>
  <si>
    <t>Nov</t>
  </si>
  <si>
    <t>Dec</t>
  </si>
  <si>
    <t>2020</t>
  </si>
  <si>
    <t>2021</t>
  </si>
  <si>
    <t>2022</t>
  </si>
  <si>
    <t>Years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</si>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</sst>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8" formatCode="0.0\ &quot;kg&quot;"/>
    <numFmt numFmtId="171" formatCode="[$$-409]#,##0.00"/>
    <numFmt numFmtId="172"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8" fontId="0" fillId="0" borderId="0" xfId="0" applyNumberFormat="1"/>
    <xf numFmtId="171" fontId="0" fillId="0" borderId="0" xfId="0" applyNumberFormat="1"/>
    <xf numFmtId="0" fontId="0" fillId="0" borderId="0" xfId="0" pivotButton="1"/>
    <xf numFmtId="166" fontId="0" fillId="0" borderId="0" xfId="0" applyNumberFormat="1"/>
    <xf numFmtId="3" fontId="0" fillId="0" borderId="0" xfId="0" applyNumberFormat="1"/>
    <xf numFmtId="172" fontId="0" fillId="0" borderId="0" xfId="0" applyNumberFormat="1"/>
  </cellXfs>
  <cellStyles count="1">
    <cellStyle name="Normal" xfId="0" builtinId="0"/>
  </cellStyles>
  <dxfs count="15">
    <dxf>
      <font>
        <b/>
        <i val="0"/>
        <sz val="11"/>
        <color auto="1"/>
        <name val="Calibri"/>
        <family val="2"/>
        <scheme val="minor"/>
      </font>
      <border>
        <left style="thin">
          <color auto="1"/>
        </left>
        <right style="thin">
          <color auto="1"/>
        </right>
        <top style="thin">
          <color auto="1"/>
        </top>
        <bottom style="thin">
          <color auto="1"/>
        </bottom>
      </border>
    </dxf>
    <dxf>
      <font>
        <b val="0"/>
        <i val="0"/>
        <sz val="11"/>
        <color rgb="FFC40815"/>
        <name val="Calibri"/>
        <family val="2"/>
        <scheme val="minor"/>
      </font>
      <fill>
        <patternFill patternType="solid">
          <fgColor theme="0"/>
          <bgColor rgb="FFFCAAAA"/>
        </patternFill>
      </fill>
      <border>
        <left style="thin">
          <color rgb="FFCD0D0D"/>
        </left>
        <right style="thin">
          <color rgb="FFCD0D0D"/>
        </right>
        <top style="thin">
          <color rgb="FFCD0D0D"/>
        </top>
        <bottom style="thin">
          <color rgb="FFCD0D0D"/>
        </bottom>
      </border>
    </dxf>
    <dxf>
      <font>
        <b/>
        <i val="0"/>
        <sz val="10"/>
        <color theme="0"/>
        <name val="Calibri"/>
        <family val="2"/>
        <scheme val="minor"/>
      </font>
      <fill>
        <patternFill>
          <bgColor rgb="FFC00000"/>
        </patternFill>
      </fill>
      <border>
        <left style="thin">
          <color theme="0"/>
        </left>
        <right style="thin">
          <color theme="0"/>
        </right>
        <top style="thin">
          <color theme="0"/>
        </top>
        <bottom style="thin">
          <color theme="0"/>
        </bottom>
      </border>
    </dxf>
    <dxf>
      <font>
        <b/>
        <i val="0"/>
        <sz val="11"/>
        <name val="Calibri"/>
        <family val="2"/>
        <scheme val="minor"/>
      </font>
      <fill>
        <patternFill>
          <bgColor rgb="FFC00000"/>
        </patternFill>
      </fill>
      <border>
        <left style="thin">
          <color theme="0"/>
        </left>
        <right style="thin">
          <color theme="0"/>
        </right>
        <top style="thin">
          <color theme="0"/>
        </top>
        <bottom style="thin">
          <color theme="0"/>
        </bottom>
      </border>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71" formatCode="[$$-409]#,##0.00"/>
    </dxf>
    <dxf>
      <numFmt numFmtId="171" formatCode="[$$-409]#,##0.00"/>
    </dxf>
    <dxf>
      <numFmt numFmtId="168"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Light Red Timeline Style" pivot="0" table="0" count="9" xr9:uid="{74F97388-B750-4164-8E03-89ED66571ADA}">
      <tableStyleElement type="wholeTable" dxfId="1"/>
      <tableStyleElement type="headerRow" dxfId="0"/>
    </tableStyle>
    <tableStyle name="Slicer Style 1" pivot="0" table="0" count="5" xr9:uid="{CBE92938-71FF-48A9-8386-B6D0EA104178}">
      <tableStyleElement type="wholeTable" dxfId="3"/>
      <tableStyleElement type="headerRow" dxfId="2"/>
    </tableStyle>
  </tableStyles>
  <colors>
    <mruColors>
      <color rgb="FFC40815"/>
      <color rgb="FFFCAAAA"/>
      <color rgb="FFFC9A9A"/>
      <color rgb="FFF2A4B1"/>
      <color rgb="FFE34F5A"/>
      <color rgb="FFC70114"/>
      <color rgb="FFFF7575"/>
      <color rgb="FFD70707"/>
      <color rgb="FFCD0D0D"/>
      <color rgb="FFC82C28"/>
    </mruColors>
  </colors>
  <extLst>
    <ext xmlns:x14="http://schemas.microsoft.com/office/spreadsheetml/2009/9/main" uri="{46F421CA-312F-682f-3DD2-61675219B42D}">
      <x14:dxfs count="15">
        <dxf>
          <font>
            <b/>
            <i val="0"/>
            <sz val="10"/>
            <color theme="0"/>
            <name val="Calibri"/>
            <family val="2"/>
            <scheme val="minor"/>
          </font>
          <fill>
            <patternFill>
              <bgColor rgb="FFC00000"/>
            </patternFill>
          </fill>
          <border>
            <left style="thin">
              <color theme="0" tint="-0.14996795556505021"/>
            </left>
            <right style="thin">
              <color theme="0" tint="-0.14996795556505021"/>
            </right>
            <top style="thin">
              <color theme="0" tint="-0.14996795556505021"/>
            </top>
            <bottom style="thin">
              <color theme="0" tint="-0.14996795556505021"/>
            </bottom>
          </border>
        </dxf>
        <dxf>
          <font>
            <b/>
            <i val="0"/>
            <sz val="10"/>
            <color theme="0"/>
            <name val="Calibri"/>
            <family val="2"/>
            <scheme val="minor"/>
          </font>
          <fill>
            <patternFill>
              <bgColor rgb="FFC00000"/>
            </patternFill>
          </fill>
          <border>
            <left style="thin">
              <color theme="0" tint="-4.9989318521683403E-2"/>
            </left>
            <right style="thin">
              <color theme="0" tint="-4.9989318521683403E-2"/>
            </right>
            <top style="thin">
              <color theme="0" tint="-4.9989318521683403E-2"/>
            </top>
            <bottom style="thin">
              <color theme="0" tint="-4.9989318521683403E-2"/>
            </bottom>
          </border>
        </dxf>
        <dxf>
          <font>
            <b/>
            <i val="0"/>
            <sz val="10"/>
            <color theme="0"/>
            <name val="Calibri"/>
            <family val="2"/>
            <scheme val="minor"/>
          </font>
          <fill>
            <patternFill>
              <bgColor rgb="FFC00000"/>
            </patternFill>
          </fill>
          <border>
            <left style="thin">
              <color theme="0" tint="-4.9989318521683403E-2"/>
            </left>
            <right style="thin">
              <color theme="0" tint="-4.9989318521683403E-2"/>
            </right>
            <top style="thin">
              <color theme="0" tint="-4.9989318521683403E-2"/>
            </top>
            <bottom style="thin">
              <color theme="0" tint="-4.9989318521683403E-2"/>
            </bottom>
          </border>
        </dxf>
        <dxf>
          <font>
            <b/>
            <i val="0"/>
            <sz val="10"/>
            <color theme="0"/>
            <name val="Calibri"/>
            <family val="2"/>
            <scheme val="minor"/>
          </font>
          <fill>
            <patternFill>
              <bgColor rgb="FFC00000"/>
            </patternFill>
          </fill>
          <border>
            <left style="thin">
              <color theme="0" tint="-0.14996795556505021"/>
            </left>
            <right style="thin">
              <color theme="0" tint="-0.14996795556505021"/>
            </right>
            <top style="thin">
              <color theme="0" tint="-0.14996795556505021"/>
            </top>
            <bottom style="thin">
              <color theme="0" tint="-0.14996795556505021"/>
            </bottom>
          </border>
        </dxf>
        <dxf>
          <font>
            <b/>
            <i val="0"/>
            <sz val="10"/>
            <color theme="0"/>
            <name val="Calibri"/>
            <family val="2"/>
            <scheme val="minor"/>
          </font>
          <fill>
            <patternFill>
              <bgColor rgb="FFC00000"/>
            </patternFill>
          </fill>
          <border>
            <left style="thin">
              <color theme="0" tint="-4.9989318521683403E-2"/>
            </left>
            <right style="thin">
              <color theme="0" tint="-4.9989318521683403E-2"/>
            </right>
            <top style="thin">
              <color theme="0" tint="-4.9989318521683403E-2"/>
            </top>
            <bottom style="thin">
              <color theme="0" tint="-4.9989318521683403E-2"/>
            </bottom>
          </border>
        </dxf>
        <dxf>
          <font>
            <b/>
            <i val="0"/>
            <sz val="10"/>
            <color theme="0"/>
            <name val="Calibri"/>
            <family val="2"/>
            <scheme val="minor"/>
          </font>
          <fill>
            <patternFill>
              <bgColor theme="0"/>
            </patternFill>
          </fill>
          <border>
            <left style="thin">
              <color theme="0" tint="-4.9989318521683403E-2"/>
            </left>
            <right style="thin">
              <color theme="0" tint="-4.9989318521683403E-2"/>
            </right>
            <top style="thin">
              <color theme="0" tint="-4.9989318521683403E-2"/>
            </top>
            <bottom style="thin">
              <color theme="0" tint="-4.9989318521683403E-2"/>
            </bottom>
          </border>
        </dxf>
        <dxf>
          <font>
            <b/>
            <i val="0"/>
            <sz val="10"/>
            <color theme="0"/>
            <name val="Calibri"/>
            <family val="2"/>
            <scheme val="minor"/>
          </font>
          <fill>
            <patternFill>
              <bgColor theme="0"/>
            </patternFill>
          </fill>
          <border>
            <left style="thin">
              <color theme="0" tint="-0.14996795556505021"/>
            </left>
            <right style="thin">
              <color theme="0" tint="-0.14996795556505021"/>
            </right>
            <top style="thin">
              <color theme="0" tint="-0.14996795556505021"/>
            </top>
            <bottom style="thin">
              <color theme="0" tint="-0.14996795556505021"/>
            </bottom>
          </border>
        </dxf>
        <dxf>
          <font>
            <b/>
            <i val="0"/>
            <sz val="10"/>
            <color theme="0"/>
            <name val="Calibri"/>
            <family val="2"/>
            <scheme val="minor"/>
          </font>
          <fill>
            <patternFill>
              <bgColor rgb="FFC00000"/>
            </patternFill>
          </fill>
          <border>
            <left style="thin">
              <color theme="0" tint="-4.9989318521683403E-2"/>
            </left>
            <right style="thin">
              <color theme="0" tint="-4.9989318521683403E-2"/>
            </right>
            <top style="thin">
              <color theme="0" tint="-4.9989318521683403E-2"/>
            </top>
            <bottom style="thin">
              <color theme="0" tint="-4.9989318521683403E-2"/>
            </bottom>
          </border>
        </dxf>
        <dxf>
          <font>
            <b/>
            <i val="0"/>
            <sz val="10"/>
            <color theme="0"/>
            <name val="Calibri"/>
            <family val="2"/>
            <scheme val="minor"/>
          </font>
          <fill>
            <patternFill>
              <bgColor theme="0"/>
            </patternFill>
          </fill>
          <border>
            <left style="thin">
              <color theme="0" tint="-4.9989318521683403E-2"/>
            </left>
            <right style="thin">
              <color theme="0" tint="-4.9989318521683403E-2"/>
            </right>
            <top style="thin">
              <color theme="0" tint="-4.9989318521683403E-2"/>
            </top>
            <bottom style="thin">
              <color theme="0" tint="-4.9989318521683403E-2"/>
            </bottom>
          </border>
        </dxf>
        <dxf>
          <font>
            <b/>
            <i val="0"/>
            <sz val="10"/>
            <color theme="0"/>
            <name val="Calibri"/>
            <family val="2"/>
            <scheme val="minor"/>
          </font>
          <fill>
            <patternFill>
              <bgColor rgb="FFC00000"/>
            </patternFill>
          </fill>
          <border>
            <left style="thin">
              <color theme="0" tint="-0.14996795556505021"/>
            </left>
            <right style="thin">
              <color theme="0" tint="-0.14996795556505021"/>
            </right>
            <top style="thin">
              <color theme="0" tint="-0.14996795556505021"/>
            </top>
            <bottom style="thin">
              <color theme="0" tint="-0.14996795556505021"/>
            </bottom>
          </border>
        </dxf>
        <dxf>
          <font>
            <b/>
            <i val="0"/>
            <sz val="10"/>
            <color theme="0"/>
            <name val="Calibri"/>
            <family val="2"/>
            <scheme val="minor"/>
          </font>
          <fill>
            <patternFill>
              <bgColor rgb="FFC00000"/>
            </patternFill>
          </fill>
          <border>
            <left style="thin">
              <color theme="0" tint="-4.9989318521683403E-2"/>
            </left>
            <right style="thin">
              <color theme="0" tint="-4.9989318521683403E-2"/>
            </right>
            <top style="thin">
              <color theme="0" tint="-4.9989318521683403E-2"/>
            </top>
            <bottom style="thin">
              <color theme="0" tint="-4.9989318521683403E-2"/>
            </bottom>
          </border>
        </dxf>
        <dxf>
          <font>
            <b/>
            <i val="0"/>
            <sz val="10"/>
            <color theme="0"/>
            <name val="Calibri"/>
            <family val="2"/>
            <scheme val="minor"/>
          </font>
          <fill>
            <patternFill>
              <bgColor theme="0"/>
            </patternFill>
          </fill>
          <border>
            <left style="thin">
              <color theme="0" tint="-4.9989318521683403E-2"/>
            </left>
            <right style="thin">
              <color theme="0" tint="-4.9989318521683403E-2"/>
            </right>
            <top style="thin">
              <color theme="0" tint="-4.9989318521683403E-2"/>
            </top>
            <bottom style="thin">
              <color theme="0" tint="-4.9989318521683403E-2"/>
            </bottom>
          </border>
        </dxf>
        <dxf>
          <font>
            <b/>
            <i val="0"/>
            <sz val="10"/>
            <color theme="0"/>
            <name val="Calibri"/>
            <family val="2"/>
            <scheme val="minor"/>
          </font>
          <fill>
            <patternFill>
              <bgColor rgb="FFC00000"/>
            </patternFill>
          </fill>
          <border>
            <left style="thin">
              <color theme="0" tint="-0.14996795556505021"/>
            </left>
            <right style="thin">
              <color theme="0" tint="-0.14996795556505021"/>
            </right>
            <top style="thin">
              <color theme="0" tint="-0.14996795556505021"/>
            </top>
            <bottom style="thin">
              <color theme="0" tint="-0.14996795556505021"/>
            </bottom>
          </border>
        </dxf>
        <dxf>
          <font>
            <b/>
            <i val="0"/>
            <sz val="10"/>
            <color theme="0"/>
            <name val="Calibri"/>
            <family val="2"/>
            <scheme val="minor"/>
          </font>
          <fill>
            <patternFill>
              <bgColor rgb="FFC00000"/>
            </patternFill>
          </fill>
          <border>
            <left style="thin">
              <color theme="0" tint="-4.9989318521683403E-2"/>
            </left>
            <right style="thin">
              <color theme="0" tint="-4.9989318521683403E-2"/>
            </right>
            <top style="thin">
              <color theme="0" tint="-4.9989318521683403E-2"/>
            </top>
            <bottom style="thin">
              <color theme="0" tint="-4.9989318521683403E-2"/>
            </bottom>
          </border>
        </dxf>
        <dxf>
          <font>
            <b/>
            <i val="0"/>
            <sz val="10"/>
            <color theme="0"/>
            <name val="Calibri"/>
            <family val="2"/>
            <scheme val="minor"/>
          </font>
          <fill>
            <patternFill>
              <bgColor rgb="FFC00000"/>
            </patternFill>
          </fill>
          <border>
            <left style="thin">
              <color theme="0" tint="-4.9989318521683403E-2"/>
            </left>
            <right style="thin">
              <color theme="0" tint="-4.9989318521683403E-2"/>
            </right>
            <top style="thin">
              <color theme="0" tint="-4.9989318521683403E-2"/>
            </top>
            <bottom style="thin">
              <color theme="0" tint="-4.9989318521683403E-2"/>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35">
        <dxf>
          <fill>
            <patternFill>
              <bgColor rgb="FFC00000"/>
            </patternFill>
          </fill>
        </dxf>
        <dxf>
          <fill>
            <patternFill patternType="solid">
              <fgColor theme="0" tint="-0.14993743705557422"/>
              <bgColor theme="0"/>
            </patternFill>
          </fill>
          <border>
            <left style="thin">
              <color rgb="FFD70707"/>
            </left>
            <right style="thin">
              <color rgb="FFD70707"/>
            </right>
            <top style="thin">
              <color rgb="FFD70707"/>
            </top>
            <bottom style="thin">
              <color rgb="FFD70707"/>
            </bottom>
          </border>
        </dxf>
        <dxf>
          <fill>
            <patternFill patternType="solid">
              <fgColor theme="0"/>
              <bgColor rgb="FFC40815"/>
            </patternFill>
          </fill>
          <border>
            <left style="thin">
              <color rgb="FFD70707"/>
            </left>
            <right style="thin">
              <color rgb="FFD70707"/>
            </right>
            <top style="thin">
              <color rgb="FFD70707"/>
            </top>
            <bottom style="thin">
              <color rgb="FFD70707"/>
            </bottom>
          </border>
        </dxf>
        <dxf>
          <font>
            <b/>
            <i val="0"/>
            <sz val="9"/>
            <color theme="1"/>
            <name val="Calibri"/>
            <family val="2"/>
            <scheme val="minor"/>
          </font>
        </dxf>
        <dxf>
          <font>
            <b/>
            <i val="0"/>
            <sz val="10"/>
            <color auto="1"/>
            <name val="Calibri"/>
            <family val="2"/>
            <scheme val="minor"/>
          </font>
        </dxf>
        <dxf>
          <font>
            <b/>
            <i val="0"/>
            <sz val="9"/>
            <color theme="1"/>
            <name val="Calibri"/>
            <family val="2"/>
            <scheme val="minor"/>
          </font>
        </dxf>
        <dxf>
          <font>
            <b/>
            <i val="0"/>
            <sz val="11"/>
            <color auto="1"/>
            <name val="Calibri"/>
            <family val="2"/>
            <scheme val="minor"/>
          </font>
        </dxf>
        <dxf>
          <fill>
            <patternFill>
              <bgColor rgb="FFC00000"/>
            </patternFill>
          </fill>
        </dxf>
        <dxf>
          <fill>
            <patternFill patternType="solid">
              <fgColor theme="0" tint="-0.14993743705557422"/>
              <bgColor theme="0"/>
            </patternFill>
          </fill>
          <border>
            <left style="thin">
              <color rgb="FFD70707"/>
            </left>
            <right style="thin">
              <color rgb="FFD70707"/>
            </right>
            <top style="thin">
              <color rgb="FFD70707"/>
            </top>
            <bottom style="thin">
              <color rgb="FFD70707"/>
            </bottom>
          </border>
        </dxf>
        <dxf>
          <fill>
            <patternFill patternType="solid">
              <fgColor theme="0"/>
              <bgColor rgb="FFC40815"/>
            </patternFill>
          </fill>
          <border>
            <left style="thin">
              <color rgb="FFD70707"/>
            </left>
            <right style="thin">
              <color rgb="FFD70707"/>
            </right>
            <top style="thin">
              <color rgb="FFD70707"/>
            </top>
            <bottom style="thin">
              <color rgb="FFD70707"/>
            </bottom>
          </border>
        </dxf>
        <dxf>
          <font>
            <b/>
            <i val="0"/>
            <sz val="9"/>
            <color theme="1"/>
            <name val="Calibri"/>
            <family val="2"/>
            <scheme val="minor"/>
          </font>
        </dxf>
        <dxf>
          <font>
            <b/>
            <i val="0"/>
            <sz val="10"/>
            <color auto="1"/>
            <name val="Calibri"/>
            <family val="2"/>
            <scheme val="minor"/>
          </font>
        </dxf>
        <dxf>
          <font>
            <b/>
            <i val="0"/>
            <sz val="9"/>
            <color theme="1"/>
            <name val="Calibri"/>
            <family val="2"/>
            <scheme val="minor"/>
          </font>
        </dxf>
        <dxf>
          <font>
            <b/>
            <i val="0"/>
            <sz val="11"/>
            <color auto="1"/>
            <name val="Calibri"/>
            <family val="2"/>
            <scheme val="minor"/>
          </font>
        </dxf>
        <dxf>
          <fill>
            <patternFill>
              <bgColor rgb="FFC00000"/>
            </patternFill>
          </fill>
        </dxf>
        <dxf>
          <fill>
            <patternFill patternType="solid">
              <fgColor theme="0" tint="-0.14993743705557422"/>
              <bgColor theme="0"/>
            </patternFill>
          </fill>
          <border>
            <left style="thin">
              <color rgb="FFD70707"/>
            </left>
            <right style="thin">
              <color rgb="FFD70707"/>
            </right>
            <top style="thin">
              <color rgb="FFD70707"/>
            </top>
            <bottom style="thin">
              <color rgb="FFD70707"/>
            </bottom>
          </border>
        </dxf>
        <dxf>
          <fill>
            <patternFill patternType="solid">
              <fgColor theme="0"/>
              <bgColor rgb="FFFF7575"/>
            </patternFill>
          </fill>
          <border>
            <left style="thin">
              <color rgb="FFD70707"/>
            </left>
            <right style="thin">
              <color rgb="FFD70707"/>
            </right>
            <top style="thin">
              <color rgb="FFD70707"/>
            </top>
            <bottom style="thin">
              <color rgb="FFD70707"/>
            </bottom>
          </border>
        </dxf>
        <dxf>
          <font>
            <b/>
            <i val="0"/>
            <sz val="9"/>
            <color theme="0"/>
            <name val="Calibri"/>
            <family val="2"/>
            <scheme val="minor"/>
          </font>
        </dxf>
        <dxf>
          <font>
            <b/>
            <i val="0"/>
            <sz val="10"/>
            <color theme="0"/>
            <name val="Calibri"/>
            <family val="2"/>
            <scheme val="minor"/>
          </font>
        </dxf>
        <dxf>
          <font>
            <b/>
            <i val="0"/>
            <sz val="9"/>
            <color theme="0"/>
            <name val="Calibri"/>
            <family val="2"/>
            <scheme val="minor"/>
          </font>
        </dxf>
        <dxf>
          <font>
            <b/>
            <i val="0"/>
            <sz val="11"/>
            <color theme="0"/>
            <name val="Calibri"/>
            <family val="2"/>
            <scheme val="minor"/>
          </font>
        </dxf>
        <dxf>
          <fill>
            <patternFill>
              <bgColor rgb="FFC00000"/>
            </patternFill>
          </fill>
        </dxf>
        <dxf>
          <fill>
            <patternFill patternType="solid">
              <fgColor theme="0" tint="-0.14993743705557422"/>
              <bgColor theme="0"/>
            </patternFill>
          </fill>
          <border>
            <left style="thin">
              <color rgb="FFD70707"/>
            </left>
            <right style="thin">
              <color rgb="FFD70707"/>
            </right>
            <top style="thin">
              <color rgb="FFD70707"/>
            </top>
            <bottom style="thin">
              <color rgb="FFD70707"/>
            </bottom>
          </border>
        </dxf>
        <dxf>
          <fill>
            <patternFill patternType="solid">
              <fgColor theme="0"/>
              <bgColor rgb="FFFF7575"/>
            </patternFill>
          </fill>
          <border>
            <left style="thin">
              <color rgb="FFD70707"/>
            </left>
            <right style="thin">
              <color rgb="FFD70707"/>
            </right>
            <top style="thin">
              <color rgb="FFD70707"/>
            </top>
            <bottom style="thin">
              <color rgb="FFD70707"/>
            </bottom>
          </border>
        </dxf>
        <dxf>
          <font>
            <b/>
            <i val="0"/>
            <sz val="9"/>
            <color theme="0"/>
            <name val="Calibri"/>
            <family val="2"/>
            <scheme val="minor"/>
          </font>
        </dxf>
        <dxf>
          <font>
            <b/>
            <i val="0"/>
            <sz val="10"/>
            <color theme="0"/>
            <name val="Calibri"/>
            <family val="2"/>
            <scheme val="minor"/>
          </font>
        </dxf>
        <dxf>
          <font>
            <b/>
            <i val="0"/>
            <sz val="9"/>
            <color theme="0"/>
            <name val="Calibri"/>
            <family val="2"/>
            <scheme val="minor"/>
          </font>
        </dxf>
        <dxf>
          <font>
            <b/>
            <i val="0"/>
            <sz val="11"/>
            <color theme="0"/>
            <name val="Calibri"/>
            <family val="2"/>
            <scheme val="minor"/>
          </font>
        </dxf>
        <dxf>
          <fill>
            <patternFill>
              <bgColor rgb="FFC00000"/>
            </patternFill>
          </fill>
        </dxf>
        <dxf>
          <fill>
            <patternFill patternType="solid">
              <fgColor theme="0" tint="-0.14993743705557422"/>
              <bgColor theme="0"/>
            </patternFill>
          </fill>
          <border>
            <left style="thin">
              <color rgb="FFD70707"/>
            </left>
            <right style="thin">
              <color rgb="FFD70707"/>
            </right>
            <top style="thin">
              <color rgb="FFD70707"/>
            </top>
            <bottom style="thin">
              <color rgb="FFD70707"/>
            </bottom>
          </border>
        </dxf>
        <dxf>
          <fill>
            <patternFill patternType="solid">
              <fgColor theme="0"/>
              <bgColor rgb="FFFF7575"/>
            </patternFill>
          </fill>
          <border>
            <left style="thin">
              <color rgb="FFD70707"/>
            </left>
            <right style="thin">
              <color rgb="FFD70707"/>
            </right>
            <top style="thin">
              <color rgb="FFD70707"/>
            </top>
            <bottom style="thin">
              <color rgb="FFD70707"/>
            </bottom>
          </border>
        </dxf>
        <dxf>
          <font>
            <b/>
            <i val="0"/>
            <sz val="9"/>
            <color theme="0"/>
            <name val="Calibri"/>
            <family val="2"/>
            <scheme val="minor"/>
          </font>
        </dxf>
        <dxf>
          <font>
            <b/>
            <i val="0"/>
            <sz val="10"/>
            <color theme="0"/>
            <name val="Calibri"/>
            <family val="2"/>
            <scheme val="minor"/>
          </font>
        </dxf>
        <dxf>
          <font>
            <b/>
            <i val="0"/>
            <sz val="9"/>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Light Red Timeline Style">
        <x15:timelineStyle name="Light Red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NO 1.xlsx]TotalSales!TotalSales</c:name>
    <c:fmtId val="5"/>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a:t>Total</a:t>
            </a:r>
            <a:r>
              <a:rPr lang="en-US"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lumMod val="85000"/>
                <a:lumOff val="1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1">
                <a:lumMod val="85000"/>
                <a:lumOff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tx1">
                <a:lumMod val="85000"/>
                <a:lumOff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7AB-4DC8-B8B2-5B7DE0205421}"/>
            </c:ext>
          </c:extLst>
        </c:ser>
        <c:ser>
          <c:idx val="1"/>
          <c:order val="1"/>
          <c:tx>
            <c:strRef>
              <c:f>TotalSales!$D$3:$D$4</c:f>
              <c:strCache>
                <c:ptCount val="1"/>
                <c:pt idx="0">
                  <c:v>Exc</c:v>
                </c:pt>
              </c:strCache>
            </c:strRef>
          </c:tx>
          <c:spPr>
            <a:ln w="28575" cap="rnd">
              <a:solidFill>
                <a:schemeClr val="tx1">
                  <a:lumMod val="85000"/>
                  <a:lumOff val="1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77AB-4DC8-B8B2-5B7DE0205421}"/>
            </c:ext>
          </c:extLst>
        </c:ser>
        <c:ser>
          <c:idx val="2"/>
          <c:order val="2"/>
          <c:tx>
            <c:strRef>
              <c:f>TotalSales!$E$3:$E$4</c:f>
              <c:strCache>
                <c:ptCount val="1"/>
                <c:pt idx="0">
                  <c:v>Lib</c:v>
                </c:pt>
              </c:strCache>
            </c:strRef>
          </c:tx>
          <c:spPr>
            <a:ln w="28575" cap="rnd">
              <a:solidFill>
                <a:srgbClr val="00B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77AB-4DC8-B8B2-5B7DE0205421}"/>
            </c:ext>
          </c:extLst>
        </c:ser>
        <c:ser>
          <c:idx val="3"/>
          <c:order val="3"/>
          <c:tx>
            <c:strRef>
              <c:f>TotalSales!$F$3:$F$4</c:f>
              <c:strCache>
                <c:ptCount val="1"/>
                <c:pt idx="0">
                  <c:v>Rob</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77AB-4DC8-B8B2-5B7DE0205421}"/>
            </c:ext>
          </c:extLst>
        </c:ser>
        <c:dLbls>
          <c:showLegendKey val="0"/>
          <c:showVal val="0"/>
          <c:showCatName val="0"/>
          <c:showSerName val="0"/>
          <c:showPercent val="0"/>
          <c:showBubbleSize val="0"/>
        </c:dLbls>
        <c:smooth val="0"/>
        <c:axId val="931511359"/>
        <c:axId val="931513439"/>
      </c:lineChart>
      <c:catAx>
        <c:axId val="931511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NG"/>
          </a:p>
        </c:txPr>
        <c:crossAx val="931513439"/>
        <c:crosses val="autoZero"/>
        <c:auto val="1"/>
        <c:lblAlgn val="ctr"/>
        <c:lblOffset val="100"/>
        <c:noMultiLvlLbl val="0"/>
      </c:catAx>
      <c:valAx>
        <c:axId val="93151343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NG"/>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NG"/>
          </a:p>
        </c:txPr>
        <c:crossAx val="93151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1BAB9"/>
    </a:solidFill>
    <a:ln w="9525" cap="flat" cmpd="sng" algn="ctr">
      <a:solidFill>
        <a:schemeClr val="tx1">
          <a:lumMod val="15000"/>
          <a:lumOff val="85000"/>
        </a:schemeClr>
      </a:solidFill>
      <a:round/>
    </a:ln>
    <a:effectLst/>
  </c:spPr>
  <c:txPr>
    <a:bodyPr/>
    <a:lstStyle/>
    <a:p>
      <a:pPr>
        <a:defRPr>
          <a:solidFill>
            <a:schemeClr val="bg2">
              <a:lumMod val="1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NO 1.xlsx]CountryBarChart!TotalSales</c:name>
    <c:fmtId val="5"/>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NG"/>
        </a:p>
      </c:txPr>
    </c:title>
    <c:autoTitleDeleted val="0"/>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pivotFmt>
      <c:pivotFmt>
        <c:idx val="2"/>
        <c:spPr>
          <a:solidFill>
            <a:schemeClr val="tx1">
              <a:lumMod val="65000"/>
              <a:lumOff val="35000"/>
            </a:schemeClr>
          </a:solidFill>
          <a:ln>
            <a:noFill/>
          </a:ln>
          <a:effectLst/>
        </c:spPr>
      </c:pivotFmt>
      <c:pivotFmt>
        <c:idx val="3"/>
        <c:spPr>
          <a:solidFill>
            <a:schemeClr val="tx1">
              <a:lumMod val="50000"/>
              <a:lumOff val="50000"/>
            </a:schemeClr>
          </a:solidFill>
          <a:ln>
            <a:noFill/>
          </a:ln>
          <a:effectLst/>
        </c:spPr>
      </c:pivotFmt>
      <c:pivotFmt>
        <c:idx val="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a:noFill/>
          </a:ln>
          <a:effectLst/>
        </c:spPr>
      </c:pivotFmt>
      <c:pivotFmt>
        <c:idx val="6"/>
        <c:spPr>
          <a:solidFill>
            <a:schemeClr val="tx1">
              <a:lumMod val="65000"/>
              <a:lumOff val="35000"/>
            </a:schemeClr>
          </a:solidFill>
          <a:ln>
            <a:noFill/>
          </a:ln>
          <a:effectLst/>
        </c:spPr>
      </c:pivotFmt>
      <c:pivotFmt>
        <c:idx val="7"/>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50000"/>
              <a:lumOff val="50000"/>
            </a:schemeClr>
          </a:solidFill>
          <a:ln>
            <a:noFill/>
          </a:ln>
          <a:effectLst/>
        </c:spPr>
      </c:pivotFmt>
      <c:pivotFmt>
        <c:idx val="9"/>
        <c:spPr>
          <a:solidFill>
            <a:schemeClr val="tx1">
              <a:lumMod val="65000"/>
              <a:lumOff val="35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tx1">
                <a:lumMod val="85000"/>
                <a:lumOff val="15000"/>
              </a:schemeClr>
            </a:solidFill>
            <a:ln>
              <a:noFill/>
            </a:ln>
            <a:effectLst/>
          </c:spPr>
          <c:invertIfNegative val="0"/>
          <c:dPt>
            <c:idx val="0"/>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1-849F-42F8-B0BD-E12F61C7308B}"/>
              </c:ext>
            </c:extLst>
          </c:dPt>
          <c:dPt>
            <c:idx val="1"/>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3-849F-42F8-B0BD-E12F61C7308B}"/>
              </c:ext>
            </c:extLst>
          </c:dPt>
          <c:dLbls>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849F-42F8-B0BD-E12F61C7308B}"/>
            </c:ext>
          </c:extLst>
        </c:ser>
        <c:dLbls>
          <c:dLblPos val="outEnd"/>
          <c:showLegendKey val="0"/>
          <c:showVal val="1"/>
          <c:showCatName val="0"/>
          <c:showSerName val="0"/>
          <c:showPercent val="0"/>
          <c:showBubbleSize val="0"/>
        </c:dLbls>
        <c:gapWidth val="182"/>
        <c:axId val="936449039"/>
        <c:axId val="936453199"/>
      </c:barChart>
      <c:catAx>
        <c:axId val="936449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NG"/>
          </a:p>
        </c:txPr>
        <c:crossAx val="936453199"/>
        <c:crosses val="autoZero"/>
        <c:auto val="1"/>
        <c:lblAlgn val="ctr"/>
        <c:lblOffset val="100"/>
        <c:noMultiLvlLbl val="0"/>
      </c:catAx>
      <c:valAx>
        <c:axId val="936453199"/>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NG"/>
          </a:p>
        </c:txPr>
        <c:crossAx val="936449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1BAB9"/>
    </a:solidFill>
    <a:ln w="9525" cap="flat" cmpd="sng" algn="ctr">
      <a:solidFill>
        <a:schemeClr val="tx1">
          <a:lumMod val="15000"/>
          <a:lumOff val="85000"/>
        </a:schemeClr>
      </a:solidFill>
      <a:round/>
    </a:ln>
    <a:effectLst/>
  </c:spPr>
  <c:txPr>
    <a:bodyPr/>
    <a:lstStyle/>
    <a:p>
      <a:pPr>
        <a:defRPr b="1">
          <a:solidFill>
            <a:schemeClr val="bg2">
              <a:lumMod val="1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NO 1.xlsx]Top 5 Customers!TotalSales</c:name>
    <c:fmtId val="16"/>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US"/>
              <a:t>Sales By Customer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tx1">
                <a:lumMod val="75000"/>
                <a:lumOff val="25000"/>
              </a:schemeClr>
            </a:solidFill>
            <a:ln>
              <a:noFill/>
            </a:ln>
            <a:effectLst/>
          </c:spPr>
          <c:invertIfNegative val="0"/>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EF96-4E6A-AE19-C542C06D9666}"/>
            </c:ext>
          </c:extLst>
        </c:ser>
        <c:dLbls>
          <c:showLegendKey val="0"/>
          <c:showVal val="0"/>
          <c:showCatName val="0"/>
          <c:showSerName val="0"/>
          <c:showPercent val="0"/>
          <c:showBubbleSize val="0"/>
        </c:dLbls>
        <c:gapWidth val="182"/>
        <c:axId val="1162336191"/>
        <c:axId val="1162341183"/>
      </c:barChart>
      <c:catAx>
        <c:axId val="116233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NG"/>
          </a:p>
        </c:txPr>
        <c:crossAx val="1162341183"/>
        <c:crosses val="autoZero"/>
        <c:auto val="1"/>
        <c:lblAlgn val="ctr"/>
        <c:lblOffset val="100"/>
        <c:noMultiLvlLbl val="0"/>
      </c:catAx>
      <c:valAx>
        <c:axId val="1162341183"/>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NG"/>
          </a:p>
        </c:txPr>
        <c:crossAx val="1162336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1BAB9"/>
    </a:solidFill>
    <a:ln w="9525" cap="flat" cmpd="sng" algn="ctr">
      <a:solidFill>
        <a:schemeClr val="bg1">
          <a:lumMod val="95000"/>
        </a:schemeClr>
      </a:solidFill>
      <a:round/>
    </a:ln>
    <a:effectLst/>
  </c:spPr>
  <c:txPr>
    <a:bodyPr/>
    <a:lstStyle/>
    <a:p>
      <a:pPr>
        <a:defRPr b="1">
          <a:solidFill>
            <a:schemeClr val="bg2">
              <a:lumMod val="10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3</xdr:row>
      <xdr:rowOff>144780</xdr:rowOff>
    </xdr:to>
    <xdr:sp macro="" textlink="">
      <xdr:nvSpPr>
        <xdr:cNvPr id="2" name="Rectangle: Rounded Corners 1">
          <a:extLst>
            <a:ext uri="{FF2B5EF4-FFF2-40B4-BE49-F238E27FC236}">
              <a16:creationId xmlns:a16="http://schemas.microsoft.com/office/drawing/2014/main" id="{3656F24F-1B2E-42C5-A5D6-9D0E546C515C}"/>
            </a:ext>
          </a:extLst>
        </xdr:cNvPr>
        <xdr:cNvSpPr/>
      </xdr:nvSpPr>
      <xdr:spPr>
        <a:xfrm>
          <a:off x="0" y="0"/>
          <a:ext cx="13605933" cy="576580"/>
        </a:xfrm>
        <a:prstGeom prst="roundRect">
          <a:avLst/>
        </a:prstGeom>
        <a:solidFill>
          <a:srgbClr val="C70114"/>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3200">
              <a:solidFill>
                <a:schemeClr val="bg2">
                  <a:lumMod val="10000"/>
                </a:schemeClr>
              </a:solidFill>
            </a:rPr>
            <a:t>COFFEE</a:t>
          </a:r>
          <a:r>
            <a:rPr lang="en-US" sz="3200" baseline="0">
              <a:solidFill>
                <a:schemeClr val="bg2">
                  <a:lumMod val="10000"/>
                </a:schemeClr>
              </a:solidFill>
            </a:rPr>
            <a:t> SALES DASHBOARD</a:t>
          </a:r>
          <a:endParaRPr lang="en-NG" sz="3200">
            <a:solidFill>
              <a:schemeClr val="bg2">
                <a:lumMod val="10000"/>
              </a:schemeClr>
            </a:solidFill>
          </a:endParaRPr>
        </a:p>
      </xdr:txBody>
    </xdr:sp>
    <xdr:clientData/>
  </xdr:twoCellAnchor>
  <xdr:twoCellAnchor>
    <xdr:from>
      <xdr:col>0</xdr:col>
      <xdr:colOff>16933</xdr:colOff>
      <xdr:row>14</xdr:row>
      <xdr:rowOff>43181</xdr:rowOff>
    </xdr:from>
    <xdr:to>
      <xdr:col>14</xdr:col>
      <xdr:colOff>0</xdr:colOff>
      <xdr:row>33</xdr:row>
      <xdr:rowOff>16933</xdr:rowOff>
    </xdr:to>
    <xdr:graphicFrame macro="">
      <xdr:nvGraphicFramePr>
        <xdr:cNvPr id="3" name="Chart 2">
          <a:extLst>
            <a:ext uri="{FF2B5EF4-FFF2-40B4-BE49-F238E27FC236}">
              <a16:creationId xmlns:a16="http://schemas.microsoft.com/office/drawing/2014/main" id="{D50EF964-262B-4748-9368-B3D7AEE1D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xdr:colOff>
      <xdr:row>3</xdr:row>
      <xdr:rowOff>167639</xdr:rowOff>
    </xdr:from>
    <xdr:to>
      <xdr:col>17</xdr:col>
      <xdr:colOff>575733</xdr:colOff>
      <xdr:row>14</xdr:row>
      <xdr:rowOff>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B3E6D218-98EF-4ACA-AB37-FDFF68EF273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 y="594359"/>
              <a:ext cx="7174652" cy="1661161"/>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17</xdr:col>
      <xdr:colOff>593512</xdr:colOff>
      <xdr:row>7</xdr:row>
      <xdr:rowOff>101600</xdr:rowOff>
    </xdr:from>
    <xdr:to>
      <xdr:col>22</xdr:col>
      <xdr:colOff>126999</xdr:colOff>
      <xdr:row>14</xdr:row>
      <xdr:rowOff>33865</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24894EB0-34CB-44FE-9542-26B9D8F6F0D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7192432" y="1259840"/>
              <a:ext cx="1971887" cy="102954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601134</xdr:colOff>
      <xdr:row>3</xdr:row>
      <xdr:rowOff>160867</xdr:rowOff>
    </xdr:from>
    <xdr:to>
      <xdr:col>26</xdr:col>
      <xdr:colOff>8468</xdr:colOff>
      <xdr:row>7</xdr:row>
      <xdr:rowOff>84667</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AA3036C2-6636-4D03-89FD-3DF6B7EB97F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7200054" y="587587"/>
              <a:ext cx="3865034" cy="65532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126999</xdr:colOff>
      <xdr:row>7</xdr:row>
      <xdr:rowOff>101600</xdr:rowOff>
    </xdr:from>
    <xdr:to>
      <xdr:col>26</xdr:col>
      <xdr:colOff>16934</xdr:colOff>
      <xdr:row>14</xdr:row>
      <xdr:rowOff>25401</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ABE31D4D-DD63-495B-B155-9775AC4B75A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9164319" y="1259840"/>
              <a:ext cx="1909235" cy="102108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19474</xdr:colOff>
      <xdr:row>24</xdr:row>
      <xdr:rowOff>152400</xdr:rowOff>
    </xdr:from>
    <xdr:to>
      <xdr:col>26</xdr:col>
      <xdr:colOff>16934</xdr:colOff>
      <xdr:row>33</xdr:row>
      <xdr:rowOff>16938</xdr:rowOff>
    </xdr:to>
    <xdr:graphicFrame macro="">
      <xdr:nvGraphicFramePr>
        <xdr:cNvPr id="8" name="Chart 7">
          <a:extLst>
            <a:ext uri="{FF2B5EF4-FFF2-40B4-BE49-F238E27FC236}">
              <a16:creationId xmlns:a16="http://schemas.microsoft.com/office/drawing/2014/main" id="{A7AF6DFE-55CA-4255-B6EF-8021FD9DA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4234</xdr:colOff>
      <xdr:row>14</xdr:row>
      <xdr:rowOff>36403</xdr:rowOff>
    </xdr:from>
    <xdr:to>
      <xdr:col>26</xdr:col>
      <xdr:colOff>25400</xdr:colOff>
      <xdr:row>24</xdr:row>
      <xdr:rowOff>118532</xdr:rowOff>
    </xdr:to>
    <xdr:graphicFrame macro="">
      <xdr:nvGraphicFramePr>
        <xdr:cNvPr id="9" name="Chart 8">
          <a:extLst>
            <a:ext uri="{FF2B5EF4-FFF2-40B4-BE49-F238E27FC236}">
              <a16:creationId xmlns:a16="http://schemas.microsoft.com/office/drawing/2014/main" id="{851BD2B0-C52F-43A1-B115-B9C5BFF89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kocha James" refreshedDate="45974.291374884262" createdVersion="7" refreshedVersion="7" minRefreshableVersion="3" recordCount="1000" xr:uid="{6CD374CB-61FA-458B-9BEF-CC1996D97CC1}">
  <cacheSource type="worksheet">
    <worksheetSource name="Orders"/>
  </cacheSource>
  <cacheFields count="17">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t"/>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8">
      <sharedItems containsSemiMixedTypes="0" containsString="0" containsNumber="1" minValue="0.2" maxValue="2.5" count="4">
        <n v="1"/>
        <n v="0.5"/>
        <n v="2.5"/>
        <n v="0.2"/>
      </sharedItems>
    </cacheField>
    <cacheField name="Unit Price" numFmtId="171">
      <sharedItems containsSemiMixedTypes="0" containsString="0" containsNumber="1" minValue="2.6849999999999996" maxValue="36.454999999999998"/>
    </cacheField>
    <cacheField name="Sales" numFmtId="171">
      <sharedItems containsSemiMixedTypes="0" containsString="0" containsNumber="1" minValue="2.6849999999999996" maxValue="218.73"/>
    </cacheField>
    <cacheField name="Coffee type name" numFmtId="0">
      <sharedItems/>
    </cacheField>
    <cacheField name="Roast Type Name" numFmtId="0">
      <sharedItems count="3">
        <s v="Medium"/>
        <s v="Large"/>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188054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573C3A-0333-4A31-886A-04CBED346BEA}" name="TotalSales" cacheId="21"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6">
  <location ref="A3:F48" firstHeaderRow="1" firstDataRow="2" firstDataCol="2"/>
  <pivotFields count="17">
    <pivotField compact="0" outline="0" showAll="0" defaultSubtotal="0"/>
    <pivotField axis="axisRow"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8" outline="0" showAll="0" defaultSubtotal="0">
      <items count="4">
        <item x="3"/>
        <item x="1"/>
        <item x="0"/>
        <item x="2"/>
      </items>
    </pivotField>
    <pivotField compact="0" numFmtId="171" outline="0" showAll="0" defaultSubtotal="0"/>
    <pivotField dataField="1" compact="0" numFmtId="171"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 baseItem="6" numFmtId="3"/>
  </dataFields>
  <chartFormats count="5">
    <chartFormat chart="5" format="8" series="1">
      <pivotArea type="data" outline="0" fieldPosition="0">
        <references count="2">
          <reference field="4294967294" count="1" selected="0">
            <x v="0"/>
          </reference>
          <reference field="8" count="1" selected="0">
            <x v="0"/>
          </reference>
        </references>
      </pivotArea>
    </chartFormat>
    <chartFormat chart="5" format="9" series="1">
      <pivotArea type="data" outline="0" fieldPosition="0">
        <references count="2">
          <reference field="4294967294" count="1" selected="0">
            <x v="0"/>
          </reference>
          <reference field="8" count="1" selected="0">
            <x v="1"/>
          </reference>
        </references>
      </pivotArea>
    </chartFormat>
    <chartFormat chart="5" format="10" series="1">
      <pivotArea type="data" outline="0" fieldPosition="0">
        <references count="2">
          <reference field="4294967294" count="1" selected="0">
            <x v="0"/>
          </reference>
          <reference field="8" count="1" selected="0">
            <x v="2"/>
          </reference>
        </references>
      </pivotArea>
    </chartFormat>
    <chartFormat chart="5" format="11" series="1">
      <pivotArea type="data" outline="0" fieldPosition="0">
        <references count="2">
          <reference field="4294967294" count="1" selected="0">
            <x v="0"/>
          </reference>
          <reference field="8" count="1" selected="0">
            <x v="3"/>
          </reference>
        </references>
      </pivotArea>
    </chartFormat>
    <chartFormat chart="5"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DFE7BB-EE14-4B69-A79A-D5A8BC02C117}" name="TotalSales" cacheId="21"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6">
  <location ref="A3:B6" firstHeaderRow="1" firstDataRow="1" firstDataCol="1"/>
  <pivotFields count="17">
    <pivotField compact="0" outline="0" showAll="0" defaultSubtotal="0"/>
    <pivotField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8" outline="0" showAll="0" defaultSubtotal="0">
      <items count="4">
        <item x="3"/>
        <item x="1"/>
        <item x="0"/>
        <item x="2"/>
      </items>
    </pivotField>
    <pivotField compact="0" numFmtId="171" outline="0" showAll="0" defaultSubtotal="0"/>
    <pivotField dataField="1" compact="0" numFmtId="171"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2" numFmtId="172"/>
  </dataFields>
  <chartFormats count="3">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C089DB-0146-47E0-9489-7564C8EE947F}" name="TotalSales" cacheId="21"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7">
  <location ref="A3:B8" firstHeaderRow="1" firstDataRow="1" firstDataCol="1"/>
  <pivotFields count="17">
    <pivotField compact="0" outline="0" showAll="0" defaultSubtotal="0"/>
    <pivotField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8" outline="0" showAll="0" defaultSubtotal="0">
      <items count="4">
        <item x="3"/>
        <item x="1"/>
        <item x="0"/>
        <item x="2"/>
      </items>
    </pivotField>
    <pivotField compact="0" numFmtId="171" outline="0" showAll="0" defaultSubtotal="0"/>
    <pivotField dataField="1" compact="0" numFmtId="171"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2" numFmtId="172"/>
  </dataFields>
  <chartFormats count="4">
    <chartFormat chart="2" format="8"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6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06586A5-53EC-49AA-999A-2310434E5E2B}" sourceName="Size">
  <pivotTables>
    <pivotTable tabId="18" name="TotalSales"/>
    <pivotTable tabId="19" name="TotalSales"/>
    <pivotTable tabId="20" name="TotalSales"/>
  </pivotTables>
  <data>
    <tabular pivotCacheId="118805445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F28D115-E59E-4A84-820A-A3760394272F}" sourceName="Roast Type Name">
  <pivotTables>
    <pivotTable tabId="18" name="TotalSales"/>
    <pivotTable tabId="19" name="TotalSales"/>
    <pivotTable tabId="20" name="TotalSales"/>
  </pivotTables>
  <data>
    <tabular pivotCacheId="118805445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1248D0E-BC96-4540-9019-AFC758ECB11F}" sourceName="Loyalty Card">
  <pivotTables>
    <pivotTable tabId="18" name="TotalSales"/>
    <pivotTable tabId="19" name="TotalSales"/>
    <pivotTable tabId="20" name="TotalSales"/>
  </pivotTables>
  <data>
    <tabular pivotCacheId="118805445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AE8633C-9753-4FCB-A3FF-152DB7ADC172}" cache="Slicer_Size" caption="Size" columnCount="2" style="Slicer Style 1" rowHeight="234950"/>
  <slicer name="Roast Type Name" xr10:uid="{BFAC4302-258E-4757-9BFE-5C93E61C27C4}" cache="Slicer_Roast_Type_Name" caption="Roast Type Name" columnCount="3" style="Slicer Style 1" rowHeight="234950"/>
  <slicer name="Loyalty Card" xr10:uid="{071A92AE-3A9B-4E04-A20A-4CE04AFD554A}"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437026-44A9-4E69-891A-CDC4DE60062D}" name="Orders" displayName="Orders" ref="A1:P1001" totalsRowShown="0" headerRowDxfId="5">
  <autoFilter ref="A1:P1001" xr:uid="{88437026-44A9-4E69-891A-CDC4DE60062D}"/>
  <tableColumns count="16">
    <tableColumn id="1" xr3:uid="{DF7DB02A-96B1-408D-BBB1-2E980053D7A3}" name="Order ID" dataDxfId="14"/>
    <tableColumn id="2" xr3:uid="{FAE8AED7-D37A-4C50-A72D-C6DA5095F8C4}" name="Order Date" dataDxfId="13"/>
    <tableColumn id="3" xr3:uid="{61498B17-B517-491A-8930-28491083705D}" name="Customer ID" dataDxfId="12"/>
    <tableColumn id="4" xr3:uid="{4D69726F-DE05-478A-B8A1-564DC410596C}" name="Product ID"/>
    <tableColumn id="5" xr3:uid="{09CF60C9-CB00-406C-AEE9-65F44539E75C}" name="Quantity" dataDxfId="11"/>
    <tableColumn id="6" xr3:uid="{77866197-80D7-47FF-8B1F-22D73A48D2F3}" name="Customer Name">
      <calculatedColumnFormula>_xlfn.XLOOKUP(C2, customers!$A$2:$A$1001, customers!$B$2:$B$1001, , 0, 1)</calculatedColumnFormula>
    </tableColumn>
    <tableColumn id="7" xr3:uid="{BBF67A57-011F-4751-8198-D772F363ACD4}" name="Email" dataDxfId="10">
      <calculatedColumnFormula>IF(_xlfn.XLOOKUP(C2,customers!$A$2:$A$1001,customers!$C$2:$C$1001,,0,1)=0,"",_xlfn.XLOOKUP(C2,customers!$A$2:$A$1001,customers!$C$2:$C$1001,,0,1))</calculatedColumnFormula>
    </tableColumn>
    <tableColumn id="8" xr3:uid="{B0722993-A202-4E96-A6AE-15A1CD5412AF}" name="Country" dataDxfId="9">
      <calculatedColumnFormula>_xlfn.XLOOKUP(C2, customers!$A$2:$A$1001, customers!$G$2:$G$1001, , 0, 1)</calculatedColumnFormula>
    </tableColumn>
    <tableColumn id="9" xr3:uid="{4508CE5F-0C96-4DA2-98DD-7190422878DD}" name="Coffee Type">
      <calculatedColumnFormula>INDEX(products!$A$1:$G$49,MATCH(orders!$D2,products!$A$1:$A$49,0),MATCH(orders!I$1,products!$A$1:$G$1,0))</calculatedColumnFormula>
    </tableColumn>
    <tableColumn id="10" xr3:uid="{358E8822-85DD-4B76-A4D9-12DC0DCAE4E6}" name="Roast Type">
      <calculatedColumnFormula>INDEX(products!$A$1:$G$49,MATCH(orders!$D2,products!$A$1:$A$49,0),MATCH(orders!J$1,products!$A$1:$G$1,0))</calculatedColumnFormula>
    </tableColumn>
    <tableColumn id="11" xr3:uid="{A5AF1E76-3594-4FDA-B24F-D8DAB3C781EB}" name="Size" dataDxfId="8">
      <calculatedColumnFormula>INDEX(products!$A$1:$G$49,MATCH(orders!$D2,products!$A$1:$A$49,0),MATCH(orders!K$1,products!$A$1:$G$1,0))</calculatedColumnFormula>
    </tableColumn>
    <tableColumn id="12" xr3:uid="{FFECE9E1-94E3-4E24-95E2-97FB47078CAC}" name="Unit Price" dataDxfId="7">
      <calculatedColumnFormula>INDEX(products!$A$1:$G$49,MATCH(orders!$D2,products!$A$1:$A$49,0),MATCH(orders!L$1,products!$A$1:$G$1,0))</calculatedColumnFormula>
    </tableColumn>
    <tableColumn id="13" xr3:uid="{D051998F-58A6-4FB5-B595-DAEAC34CCDFC}" name="Sales" dataDxfId="6">
      <calculatedColumnFormula>L2*E2</calculatedColumnFormula>
    </tableColumn>
    <tableColumn id="14" xr3:uid="{F2BDED9F-FF62-47E5-B2F3-32C3ECADBE7C}" name="Coffee type name">
      <calculatedColumnFormula>IF(I2="Rob","Robusta",IF(I2="Exc","Excelsa",IF(I2="Ara","Arabica",IF(I2="Lib","Liberica",""))))</calculatedColumnFormula>
    </tableColumn>
    <tableColumn id="15" xr3:uid="{25A81813-2624-4125-8DE3-489755F1D106}" name="Roast Type Name">
      <calculatedColumnFormula>IF(J2="M","Medium",IF(J2="L","Large",IF(J2="D","Dark","")))</calculatedColumnFormula>
    </tableColumn>
    <tableColumn id="16" xr3:uid="{57A14810-2CD4-4610-9802-9358963ED564}" name="Loyalty Card" dataDxfId="4">
      <calculatedColumnFormula>_xlfn.XLOOKUP(Orders[[#This Row],[Customer ID]],customers!$A$1:$A$1001,customers!$I$1:$I$1001,"",0)</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F0FF738-B699-4A99-B668-8A1E50B072AD}" sourceName="Order Date">
  <pivotTables>
    <pivotTable tabId="18" name="TotalSales"/>
    <pivotTable tabId="19" name="TotalSales"/>
    <pivotTable tabId="20" name="TotalSales"/>
  </pivotTables>
  <state minimalRefreshVersion="6" lastRefreshVersion="6" pivotCacheId="118805445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CC9EA51-67CA-43BC-A3C3-4D0D140B73AB}" cache="NativeTimeline_Order_Date" caption="Order Date" level="2" selectionLevel="2"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12112-6C25-4F51-BBD4-E0A3CE1CE856}">
  <dimension ref="A1:A24"/>
  <sheetViews>
    <sheetView showGridLines="0" tabSelected="1" zoomScaleNormal="100" workbookViewId="0">
      <selection activeCell="AB11" sqref="AB11"/>
    </sheetView>
  </sheetViews>
  <sheetFormatPr defaultRowHeight="14.4" x14ac:dyDescent="0.3"/>
  <cols>
    <col min="1" max="1" width="2.77734375" customWidth="1"/>
    <col min="4" max="4" width="0" hidden="1" customWidth="1"/>
    <col min="5" max="5" width="1.77734375" customWidth="1"/>
    <col min="7" max="7" width="0" hidden="1" customWidth="1"/>
    <col min="8" max="8" width="8.88671875" customWidth="1"/>
    <col min="10" max="10" width="0" hidden="1" customWidth="1"/>
    <col min="13" max="13" width="2.77734375" customWidth="1"/>
    <col min="16" max="16" width="0" hidden="1" customWidth="1"/>
    <col min="18" max="18" width="8.88671875" customWidth="1"/>
    <col min="19" max="19" width="0" hidden="1" customWidth="1"/>
    <col min="25" max="25" width="2.77734375" customWidth="1"/>
  </cols>
  <sheetData>
    <row r="1" ht="4.95" customHeight="1" x14ac:dyDescent="0.3"/>
    <row r="13" hidden="1" x14ac:dyDescent="0.3"/>
    <row r="24" hidden="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40CFC-103D-4D15-A7D5-DF663646D6CE}">
  <dimension ref="A3:F48"/>
  <sheetViews>
    <sheetView topLeftCell="B1" workbookViewId="0">
      <selection activeCell="G29" sqref="G29"/>
    </sheetView>
  </sheetViews>
  <sheetFormatPr defaultRowHeight="14.4" x14ac:dyDescent="0.3"/>
  <cols>
    <col min="1" max="1" width="12.5546875" bestFit="1" customWidth="1"/>
    <col min="2" max="2" width="12.33203125" bestFit="1" customWidth="1"/>
    <col min="3" max="3" width="13.33203125" bestFit="1" customWidth="1"/>
    <col min="4" max="5" width="4" bestFit="1" customWidth="1"/>
    <col min="6" max="6" width="4.33203125" bestFit="1" customWidth="1"/>
  </cols>
  <sheetData>
    <row r="3" spans="1:6" x14ac:dyDescent="0.3">
      <c r="A3" s="6" t="s">
        <v>6215</v>
      </c>
      <c r="C3" s="6" t="s">
        <v>9</v>
      </c>
    </row>
    <row r="4" spans="1:6" x14ac:dyDescent="0.3">
      <c r="A4" s="6" t="s">
        <v>6214</v>
      </c>
      <c r="B4" s="6" t="s">
        <v>1</v>
      </c>
      <c r="C4" t="s">
        <v>6193</v>
      </c>
      <c r="D4" t="s">
        <v>6194</v>
      </c>
      <c r="E4" t="s">
        <v>6195</v>
      </c>
      <c r="F4" t="s">
        <v>6192</v>
      </c>
    </row>
    <row r="5" spans="1:6" x14ac:dyDescent="0.3">
      <c r="A5" t="s">
        <v>6198</v>
      </c>
      <c r="B5" s="7" t="s">
        <v>6199</v>
      </c>
      <c r="C5" s="8">
        <v>186.85499999999999</v>
      </c>
      <c r="D5" s="8">
        <v>305.97000000000003</v>
      </c>
      <c r="E5" s="8">
        <v>213.15999999999997</v>
      </c>
      <c r="F5" s="8">
        <v>123</v>
      </c>
    </row>
    <row r="6" spans="1:6" x14ac:dyDescent="0.3">
      <c r="B6" s="7" t="s">
        <v>6200</v>
      </c>
      <c r="C6" s="8">
        <v>251.96499999999997</v>
      </c>
      <c r="D6" s="8">
        <v>129.46</v>
      </c>
      <c r="E6" s="8">
        <v>434.03999999999996</v>
      </c>
      <c r="F6" s="8">
        <v>171.93999999999997</v>
      </c>
    </row>
    <row r="7" spans="1:6" x14ac:dyDescent="0.3">
      <c r="B7" s="7" t="s">
        <v>6201</v>
      </c>
      <c r="C7" s="8">
        <v>224.94499999999999</v>
      </c>
      <c r="D7" s="8">
        <v>349.12</v>
      </c>
      <c r="E7" s="8">
        <v>321.04000000000002</v>
      </c>
      <c r="F7" s="8">
        <v>126.035</v>
      </c>
    </row>
    <row r="8" spans="1:6" x14ac:dyDescent="0.3">
      <c r="B8" s="7" t="s">
        <v>6202</v>
      </c>
      <c r="C8" s="8">
        <v>307.12</v>
      </c>
      <c r="D8" s="8">
        <v>681.07499999999993</v>
      </c>
      <c r="E8" s="8">
        <v>533.70499999999993</v>
      </c>
      <c r="F8" s="8">
        <v>158.85</v>
      </c>
    </row>
    <row r="9" spans="1:6" x14ac:dyDescent="0.3">
      <c r="B9" s="7" t="s">
        <v>6203</v>
      </c>
      <c r="C9" s="8">
        <v>53.664999999999992</v>
      </c>
      <c r="D9" s="8">
        <v>83.025000000000006</v>
      </c>
      <c r="E9" s="8">
        <v>193.83499999999998</v>
      </c>
      <c r="F9" s="8">
        <v>68.039999999999992</v>
      </c>
    </row>
    <row r="10" spans="1:6" x14ac:dyDescent="0.3">
      <c r="B10" s="7" t="s">
        <v>6204</v>
      </c>
      <c r="C10" s="8">
        <v>163.01999999999998</v>
      </c>
      <c r="D10" s="8">
        <v>678.3599999999999</v>
      </c>
      <c r="E10" s="8">
        <v>171.04500000000002</v>
      </c>
      <c r="F10" s="8">
        <v>372.255</v>
      </c>
    </row>
    <row r="11" spans="1:6" x14ac:dyDescent="0.3">
      <c r="B11" s="7" t="s">
        <v>6205</v>
      </c>
      <c r="C11" s="8">
        <v>345.02</v>
      </c>
      <c r="D11" s="8">
        <v>273.86999999999995</v>
      </c>
      <c r="E11" s="8">
        <v>184.12999999999997</v>
      </c>
      <c r="F11" s="8">
        <v>201.11499999999998</v>
      </c>
    </row>
    <row r="12" spans="1:6" x14ac:dyDescent="0.3">
      <c r="B12" s="7" t="s">
        <v>6206</v>
      </c>
      <c r="C12" s="8">
        <v>334.89</v>
      </c>
      <c r="D12" s="8">
        <v>70.95</v>
      </c>
      <c r="E12" s="8">
        <v>134.23000000000002</v>
      </c>
      <c r="F12" s="8">
        <v>166.27499999999998</v>
      </c>
    </row>
    <row r="13" spans="1:6" x14ac:dyDescent="0.3">
      <c r="B13" s="7" t="s">
        <v>6207</v>
      </c>
      <c r="C13" s="8">
        <v>178.70999999999998</v>
      </c>
      <c r="D13" s="8">
        <v>166.1</v>
      </c>
      <c r="E13" s="8">
        <v>439.30999999999995</v>
      </c>
      <c r="F13" s="8">
        <v>492.9</v>
      </c>
    </row>
    <row r="14" spans="1:6" x14ac:dyDescent="0.3">
      <c r="B14" s="7" t="s">
        <v>6208</v>
      </c>
      <c r="C14" s="8">
        <v>301.98500000000001</v>
      </c>
      <c r="D14" s="8">
        <v>153.76499999999999</v>
      </c>
      <c r="E14" s="8">
        <v>215.55499999999998</v>
      </c>
      <c r="F14" s="8">
        <v>213.66499999999999</v>
      </c>
    </row>
    <row r="15" spans="1:6" x14ac:dyDescent="0.3">
      <c r="B15" s="7" t="s">
        <v>6209</v>
      </c>
      <c r="C15" s="8">
        <v>312.83499999999998</v>
      </c>
      <c r="D15" s="8">
        <v>63.249999999999993</v>
      </c>
      <c r="E15" s="8">
        <v>350.89500000000004</v>
      </c>
      <c r="F15" s="8">
        <v>96.405000000000001</v>
      </c>
    </row>
    <row r="16" spans="1:6" x14ac:dyDescent="0.3">
      <c r="B16" s="7" t="s">
        <v>6210</v>
      </c>
      <c r="C16" s="8">
        <v>265.62</v>
      </c>
      <c r="D16" s="8">
        <v>526.51499999999987</v>
      </c>
      <c r="E16" s="8">
        <v>187.06</v>
      </c>
      <c r="F16" s="8">
        <v>210.58999999999997</v>
      </c>
    </row>
    <row r="17" spans="1:6" x14ac:dyDescent="0.3">
      <c r="A17" t="s">
        <v>6211</v>
      </c>
      <c r="B17" s="7" t="s">
        <v>6199</v>
      </c>
      <c r="C17" s="8">
        <v>47.25</v>
      </c>
      <c r="D17" s="8">
        <v>65.805000000000007</v>
      </c>
      <c r="E17" s="8">
        <v>274.67500000000001</v>
      </c>
      <c r="F17" s="8">
        <v>179.22</v>
      </c>
    </row>
    <row r="18" spans="1:6" x14ac:dyDescent="0.3">
      <c r="B18" s="7" t="s">
        <v>6200</v>
      </c>
      <c r="C18" s="8">
        <v>745.44999999999993</v>
      </c>
      <c r="D18" s="8">
        <v>428.88499999999999</v>
      </c>
      <c r="E18" s="8">
        <v>194.17499999999998</v>
      </c>
      <c r="F18" s="8">
        <v>429.82999999999993</v>
      </c>
    </row>
    <row r="19" spans="1:6" x14ac:dyDescent="0.3">
      <c r="B19" s="7" t="s">
        <v>6201</v>
      </c>
      <c r="C19" s="8">
        <v>130.47</v>
      </c>
      <c r="D19" s="8">
        <v>271.48500000000001</v>
      </c>
      <c r="E19" s="8">
        <v>281.20499999999998</v>
      </c>
      <c r="F19" s="8">
        <v>231.63000000000002</v>
      </c>
    </row>
    <row r="20" spans="1:6" x14ac:dyDescent="0.3">
      <c r="B20" s="7" t="s">
        <v>6202</v>
      </c>
      <c r="C20" s="8">
        <v>27</v>
      </c>
      <c r="D20" s="8">
        <v>347.26</v>
      </c>
      <c r="E20" s="8">
        <v>147.51</v>
      </c>
      <c r="F20" s="8">
        <v>240.04</v>
      </c>
    </row>
    <row r="21" spans="1:6" x14ac:dyDescent="0.3">
      <c r="B21" s="7" t="s">
        <v>6203</v>
      </c>
      <c r="C21" s="8">
        <v>255.11499999999995</v>
      </c>
      <c r="D21" s="8">
        <v>541.73</v>
      </c>
      <c r="E21" s="8">
        <v>83.43</v>
      </c>
      <c r="F21" s="8">
        <v>59.079999999999991</v>
      </c>
    </row>
    <row r="22" spans="1:6" x14ac:dyDescent="0.3">
      <c r="B22" s="7" t="s">
        <v>6204</v>
      </c>
      <c r="C22" s="8">
        <v>584.78999999999985</v>
      </c>
      <c r="D22" s="8">
        <v>357.42999999999995</v>
      </c>
      <c r="E22" s="8">
        <v>355.34</v>
      </c>
      <c r="F22" s="8">
        <v>140.88</v>
      </c>
    </row>
    <row r="23" spans="1:6" x14ac:dyDescent="0.3">
      <c r="B23" s="7" t="s">
        <v>6205</v>
      </c>
      <c r="C23" s="8">
        <v>430.62</v>
      </c>
      <c r="D23" s="8">
        <v>227.42500000000001</v>
      </c>
      <c r="E23" s="8">
        <v>236.315</v>
      </c>
      <c r="F23" s="8">
        <v>414.58499999999992</v>
      </c>
    </row>
    <row r="24" spans="1:6" x14ac:dyDescent="0.3">
      <c r="B24" s="7" t="s">
        <v>6206</v>
      </c>
      <c r="C24" s="8">
        <v>22.5</v>
      </c>
      <c r="D24" s="8">
        <v>77.72</v>
      </c>
      <c r="E24" s="8">
        <v>60.5</v>
      </c>
      <c r="F24" s="8">
        <v>139.67999999999998</v>
      </c>
    </row>
    <row r="25" spans="1:6" x14ac:dyDescent="0.3">
      <c r="B25" s="7" t="s">
        <v>6207</v>
      </c>
      <c r="C25" s="8">
        <v>126.14999999999999</v>
      </c>
      <c r="D25" s="8">
        <v>195.11</v>
      </c>
      <c r="E25" s="8">
        <v>89.13</v>
      </c>
      <c r="F25" s="8">
        <v>302.65999999999997</v>
      </c>
    </row>
    <row r="26" spans="1:6" x14ac:dyDescent="0.3">
      <c r="B26" s="7" t="s">
        <v>6208</v>
      </c>
      <c r="C26" s="8">
        <v>376.03</v>
      </c>
      <c r="D26" s="8">
        <v>523.24</v>
      </c>
      <c r="E26" s="8">
        <v>440.96499999999997</v>
      </c>
      <c r="F26" s="8">
        <v>174.46999999999997</v>
      </c>
    </row>
    <row r="27" spans="1:6" x14ac:dyDescent="0.3">
      <c r="B27" s="7" t="s">
        <v>6209</v>
      </c>
      <c r="C27" s="8">
        <v>515.17999999999995</v>
      </c>
      <c r="D27" s="8">
        <v>142.56</v>
      </c>
      <c r="E27" s="8">
        <v>347.03999999999996</v>
      </c>
      <c r="F27" s="8">
        <v>104.08499999999999</v>
      </c>
    </row>
    <row r="28" spans="1:6" x14ac:dyDescent="0.3">
      <c r="B28" s="7" t="s">
        <v>6210</v>
      </c>
      <c r="C28" s="8">
        <v>95.859999999999985</v>
      </c>
      <c r="D28" s="8">
        <v>484.76</v>
      </c>
      <c r="E28" s="8">
        <v>94.17</v>
      </c>
      <c r="F28" s="8">
        <v>77.10499999999999</v>
      </c>
    </row>
    <row r="29" spans="1:6" x14ac:dyDescent="0.3">
      <c r="A29" t="s">
        <v>6212</v>
      </c>
      <c r="B29" s="7" t="s">
        <v>6199</v>
      </c>
      <c r="C29" s="8">
        <v>258.34500000000003</v>
      </c>
      <c r="D29" s="8">
        <v>139.625</v>
      </c>
      <c r="E29" s="8">
        <v>279.52000000000004</v>
      </c>
      <c r="F29" s="8">
        <v>160.19499999999999</v>
      </c>
    </row>
    <row r="30" spans="1:6" x14ac:dyDescent="0.3">
      <c r="B30" s="7" t="s">
        <v>6200</v>
      </c>
      <c r="C30" s="8">
        <v>342.2</v>
      </c>
      <c r="D30" s="8">
        <v>284.24999999999994</v>
      </c>
      <c r="E30" s="8">
        <v>251.83</v>
      </c>
      <c r="F30" s="8">
        <v>80.550000000000011</v>
      </c>
    </row>
    <row r="31" spans="1:6" x14ac:dyDescent="0.3">
      <c r="B31" s="7" t="s">
        <v>6201</v>
      </c>
      <c r="C31" s="8">
        <v>418.30499999999989</v>
      </c>
      <c r="D31" s="8">
        <v>468.125</v>
      </c>
      <c r="E31" s="8">
        <v>405.05500000000006</v>
      </c>
      <c r="F31" s="8">
        <v>253.15499999999997</v>
      </c>
    </row>
    <row r="32" spans="1:6" x14ac:dyDescent="0.3">
      <c r="B32" s="7" t="s">
        <v>6202</v>
      </c>
      <c r="C32" s="8">
        <v>102.32999999999998</v>
      </c>
      <c r="D32" s="8">
        <v>242.14000000000001</v>
      </c>
      <c r="E32" s="8">
        <v>554.875</v>
      </c>
      <c r="F32" s="8">
        <v>106.23999999999998</v>
      </c>
    </row>
    <row r="33" spans="1:6" x14ac:dyDescent="0.3">
      <c r="B33" s="7" t="s">
        <v>6203</v>
      </c>
      <c r="C33" s="8">
        <v>234.71999999999997</v>
      </c>
      <c r="D33" s="8">
        <v>133.08000000000001</v>
      </c>
      <c r="E33" s="8">
        <v>267.2</v>
      </c>
      <c r="F33" s="8">
        <v>272.68999999999994</v>
      </c>
    </row>
    <row r="34" spans="1:6" x14ac:dyDescent="0.3">
      <c r="B34" s="7" t="s">
        <v>6204</v>
      </c>
      <c r="C34" s="8">
        <v>430.39</v>
      </c>
      <c r="D34" s="8">
        <v>136.20500000000001</v>
      </c>
      <c r="E34" s="8">
        <v>209.6</v>
      </c>
      <c r="F34" s="8">
        <v>88.334999999999994</v>
      </c>
    </row>
    <row r="35" spans="1:6" x14ac:dyDescent="0.3">
      <c r="B35" s="7" t="s">
        <v>6205</v>
      </c>
      <c r="C35" s="8">
        <v>109.005</v>
      </c>
      <c r="D35" s="8">
        <v>393.57499999999999</v>
      </c>
      <c r="E35" s="8">
        <v>61.034999999999997</v>
      </c>
      <c r="F35" s="8">
        <v>199.48999999999998</v>
      </c>
    </row>
    <row r="36" spans="1:6" x14ac:dyDescent="0.3">
      <c r="B36" s="7" t="s">
        <v>6206</v>
      </c>
      <c r="C36" s="8">
        <v>287.52499999999998</v>
      </c>
      <c r="D36" s="8">
        <v>288.67</v>
      </c>
      <c r="E36" s="8">
        <v>125.58</v>
      </c>
      <c r="F36" s="8">
        <v>374.13499999999999</v>
      </c>
    </row>
    <row r="37" spans="1:6" x14ac:dyDescent="0.3">
      <c r="B37" s="7" t="s">
        <v>6207</v>
      </c>
      <c r="C37" s="8">
        <v>840.92999999999984</v>
      </c>
      <c r="D37" s="8">
        <v>409.875</v>
      </c>
      <c r="E37" s="8">
        <v>171.32999999999998</v>
      </c>
      <c r="F37" s="8">
        <v>221.43999999999997</v>
      </c>
    </row>
    <row r="38" spans="1:6" x14ac:dyDescent="0.3">
      <c r="B38" s="7" t="s">
        <v>6208</v>
      </c>
      <c r="C38" s="8">
        <v>299.07</v>
      </c>
      <c r="D38" s="8">
        <v>260.32499999999999</v>
      </c>
      <c r="E38" s="8">
        <v>584.64</v>
      </c>
      <c r="F38" s="8">
        <v>256.36500000000001</v>
      </c>
    </row>
    <row r="39" spans="1:6" x14ac:dyDescent="0.3">
      <c r="B39" s="7" t="s">
        <v>6209</v>
      </c>
      <c r="C39" s="8">
        <v>323.32499999999999</v>
      </c>
      <c r="D39" s="8">
        <v>565.57000000000005</v>
      </c>
      <c r="E39" s="8">
        <v>537.80999999999995</v>
      </c>
      <c r="F39" s="8">
        <v>189.47499999999999</v>
      </c>
    </row>
    <row r="40" spans="1:6" x14ac:dyDescent="0.3">
      <c r="B40" s="7" t="s">
        <v>6210</v>
      </c>
      <c r="C40" s="8">
        <v>399.48499999999996</v>
      </c>
      <c r="D40" s="8">
        <v>148.19999999999999</v>
      </c>
      <c r="E40" s="8">
        <v>388.21999999999997</v>
      </c>
      <c r="F40" s="8">
        <v>212.07499999999999</v>
      </c>
    </row>
    <row r="41" spans="1:6" x14ac:dyDescent="0.3">
      <c r="A41" t="s">
        <v>6213</v>
      </c>
      <c r="B41" s="7" t="s">
        <v>6199</v>
      </c>
      <c r="C41" s="8">
        <v>112.69499999999999</v>
      </c>
      <c r="D41" s="8">
        <v>166.32</v>
      </c>
      <c r="E41" s="8">
        <v>843.71499999999992</v>
      </c>
      <c r="F41" s="8">
        <v>146.685</v>
      </c>
    </row>
    <row r="42" spans="1:6" x14ac:dyDescent="0.3">
      <c r="B42" s="7" t="s">
        <v>6200</v>
      </c>
      <c r="C42" s="8">
        <v>114.87999999999998</v>
      </c>
      <c r="D42" s="8">
        <v>133.815</v>
      </c>
      <c r="E42" s="8">
        <v>91.175000000000011</v>
      </c>
      <c r="F42" s="8">
        <v>53.759999999999991</v>
      </c>
    </row>
    <row r="43" spans="1:6" x14ac:dyDescent="0.3">
      <c r="B43" s="7" t="s">
        <v>6201</v>
      </c>
      <c r="C43" s="8">
        <v>277.76</v>
      </c>
      <c r="D43" s="8">
        <v>175.41</v>
      </c>
      <c r="E43" s="8">
        <v>462.50999999999993</v>
      </c>
      <c r="F43" s="8">
        <v>399.52499999999998</v>
      </c>
    </row>
    <row r="44" spans="1:6" x14ac:dyDescent="0.3">
      <c r="B44" s="7" t="s">
        <v>6202</v>
      </c>
      <c r="C44" s="8">
        <v>197.89499999999998</v>
      </c>
      <c r="D44" s="8">
        <v>289.755</v>
      </c>
      <c r="E44" s="8">
        <v>88.545000000000002</v>
      </c>
      <c r="F44" s="8">
        <v>200.25499999999997</v>
      </c>
    </row>
    <row r="45" spans="1:6" x14ac:dyDescent="0.3">
      <c r="B45" s="7" t="s">
        <v>6203</v>
      </c>
      <c r="C45" s="8">
        <v>193.11499999999998</v>
      </c>
      <c r="D45" s="8">
        <v>212.49499999999998</v>
      </c>
      <c r="E45" s="8">
        <v>292.29000000000002</v>
      </c>
      <c r="F45" s="8">
        <v>304.46999999999997</v>
      </c>
    </row>
    <row r="46" spans="1:6" x14ac:dyDescent="0.3">
      <c r="B46" s="7" t="s">
        <v>6204</v>
      </c>
      <c r="C46" s="8">
        <v>179.79</v>
      </c>
      <c r="D46" s="8">
        <v>426.2</v>
      </c>
      <c r="E46" s="8">
        <v>170.08999999999997</v>
      </c>
      <c r="F46" s="8">
        <v>379.31</v>
      </c>
    </row>
    <row r="47" spans="1:6" x14ac:dyDescent="0.3">
      <c r="B47" s="7" t="s">
        <v>6205</v>
      </c>
      <c r="C47" s="8">
        <v>247.28999999999996</v>
      </c>
      <c r="D47" s="8">
        <v>246.685</v>
      </c>
      <c r="E47" s="8">
        <v>271.05499999999995</v>
      </c>
      <c r="F47" s="8">
        <v>141.69999999999999</v>
      </c>
    </row>
    <row r="48" spans="1:6" x14ac:dyDescent="0.3">
      <c r="B48" s="7" t="s">
        <v>6206</v>
      </c>
      <c r="C48" s="8">
        <v>116.39499999999998</v>
      </c>
      <c r="D48" s="8">
        <v>41.25</v>
      </c>
      <c r="E48" s="8">
        <v>15.54</v>
      </c>
      <c r="F48" s="8">
        <v>71.06</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7CE8D-F60C-48CA-B220-77058251E7E7}">
  <dimension ref="A3:B6"/>
  <sheetViews>
    <sheetView workbookViewId="0">
      <selection activeCell="C23" sqref="C23"/>
    </sheetView>
  </sheetViews>
  <sheetFormatPr defaultRowHeight="14.4" x14ac:dyDescent="0.3"/>
  <cols>
    <col min="1" max="1" width="14" bestFit="1" customWidth="1"/>
    <col min="2" max="2" width="11.6640625" bestFit="1" customWidth="1"/>
    <col min="3" max="3" width="14.77734375" bestFit="1" customWidth="1"/>
    <col min="4" max="4" width="12.21875" bestFit="1" customWidth="1"/>
    <col min="5" max="5" width="5.44140625" bestFit="1" customWidth="1"/>
    <col min="6" max="6" width="4.33203125" bestFit="1" customWidth="1"/>
  </cols>
  <sheetData>
    <row r="3" spans="1:2" x14ac:dyDescent="0.3">
      <c r="A3" s="6" t="s">
        <v>7</v>
      </c>
      <c r="B3" t="s">
        <v>6215</v>
      </c>
    </row>
    <row r="4" spans="1:2" x14ac:dyDescent="0.3">
      <c r="A4" t="s">
        <v>28</v>
      </c>
      <c r="B4" s="9">
        <v>2798.5050000000001</v>
      </c>
    </row>
    <row r="5" spans="1:2" x14ac:dyDescent="0.3">
      <c r="A5" t="s">
        <v>318</v>
      </c>
      <c r="B5" s="9">
        <v>6696.8649999999989</v>
      </c>
    </row>
    <row r="6" spans="1:2" x14ac:dyDescent="0.3">
      <c r="A6" t="s">
        <v>19</v>
      </c>
      <c r="B6" s="9">
        <v>35638.88499999998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CAF67-01C5-4A85-87C8-CE9ADF36B916}">
  <dimension ref="A3:B8"/>
  <sheetViews>
    <sheetView workbookViewId="0">
      <selection activeCell="B4" sqref="B4"/>
    </sheetView>
  </sheetViews>
  <sheetFormatPr defaultRowHeight="14.4" x14ac:dyDescent="0.3"/>
  <cols>
    <col min="1" max="1" width="16.88671875" bestFit="1" customWidth="1"/>
    <col min="2" max="3" width="11.6640625" bestFit="1" customWidth="1"/>
    <col min="4" max="4" width="12.21875" bestFit="1" customWidth="1"/>
    <col min="5" max="5" width="5.44140625" bestFit="1" customWidth="1"/>
    <col min="6" max="6" width="4.33203125" bestFit="1" customWidth="1"/>
  </cols>
  <sheetData>
    <row r="3" spans="1:2" x14ac:dyDescent="0.3">
      <c r="A3" s="6" t="s">
        <v>4</v>
      </c>
      <c r="B3" t="s">
        <v>6215</v>
      </c>
    </row>
    <row r="4" spans="1:2" x14ac:dyDescent="0.3">
      <c r="A4" t="s">
        <v>3753</v>
      </c>
      <c r="B4" s="9">
        <v>278.01</v>
      </c>
    </row>
    <row r="5" spans="1:2" x14ac:dyDescent="0.3">
      <c r="A5" t="s">
        <v>1598</v>
      </c>
      <c r="B5" s="9">
        <v>281.67499999999995</v>
      </c>
    </row>
    <row r="6" spans="1:2" x14ac:dyDescent="0.3">
      <c r="A6" t="s">
        <v>2587</v>
      </c>
      <c r="B6" s="9">
        <v>289.11</v>
      </c>
    </row>
    <row r="7" spans="1:2" x14ac:dyDescent="0.3">
      <c r="A7" t="s">
        <v>5765</v>
      </c>
      <c r="B7" s="9">
        <v>307.04499999999996</v>
      </c>
    </row>
    <row r="8" spans="1:2" x14ac:dyDescent="0.3">
      <c r="A8" t="s">
        <v>5114</v>
      </c>
      <c r="B8" s="9">
        <v>317.06999999999994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K1" zoomScale="115"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33203125"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77734375" bestFit="1" customWidth="1"/>
    <col min="14" max="14" width="17.55468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t="s">
        <v>6196</v>
      </c>
      <c r="O1" s="2" t="s">
        <v>6197</v>
      </c>
      <c r="P1" s="2" t="s">
        <v>6189</v>
      </c>
    </row>
    <row r="2" spans="1:16" x14ac:dyDescent="0.3">
      <c r="A2" s="2" t="s">
        <v>490</v>
      </c>
      <c r="B2" s="3">
        <v>43713</v>
      </c>
      <c r="C2" s="2" t="s">
        <v>491</v>
      </c>
      <c r="D2" t="s">
        <v>6138</v>
      </c>
      <c r="E2" s="2">
        <v>2</v>
      </c>
      <c r="F2" t="str">
        <f>_xlfn.XLOOKUP(C2, customers!$A$2:$A$1001, customers!$B$2:$B$1001, , 0, 1)</f>
        <v>Aloisia Allner</v>
      </c>
      <c r="G2" s="2" t="str">
        <f>IF(_xlfn.XLOOKUP(C2,customers!$A$2:$A$1001,customers!$C$2:$C$1001,,0,1)=0,"",_xlfn.XLOOKUP(C2,customers!$A$2:$A$1001,customers!$C$2:$C$1001,,0,1))</f>
        <v>aallner0@lulu.com</v>
      </c>
      <c r="H2" s="2" t="str">
        <f>_xlfn.XLOOKUP(C2, customers!$A$2:$A$1001, customers!$G$2:$G$1001, , 0, 1)</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IF(J2="M","Medium",IF(J2="L","Large",IF(J2="D","Dark","")))</f>
        <v>Medium</v>
      </c>
      <c r="P2" t="str">
        <f>_xlfn.XLOOKUP(Orders[[#This Row],[Customer ID]],customers!$A$1:$A$1001,customers!$I$1:$I$1001,"",0)</f>
        <v>Yes</v>
      </c>
    </row>
    <row r="3" spans="1:16" x14ac:dyDescent="0.3">
      <c r="A3" s="2" t="s">
        <v>490</v>
      </c>
      <c r="B3" s="3">
        <v>43713</v>
      </c>
      <c r="C3" s="2" t="s">
        <v>491</v>
      </c>
      <c r="D3" t="s">
        <v>6139</v>
      </c>
      <c r="E3" s="2">
        <v>5</v>
      </c>
      <c r="F3" t="str">
        <f>_xlfn.XLOOKUP(C3, customers!$A$2:$A$1001, customers!$B$2:$B$1001, , 0, 1)</f>
        <v>Aloisia Allner</v>
      </c>
      <c r="G3" s="2" t="str">
        <f>IF(_xlfn.XLOOKUP(C3,customers!$A$2:$A$1001,customers!$C$2:$C$1001,,0,1)=0,"",_xlfn.XLOOKUP(C3,customers!$A$2:$A$1001,customers!$C$2:$C$1001,,0,1))</f>
        <v>aallner0@lulu.com</v>
      </c>
      <c r="H3" s="2" t="str">
        <f>_xlfn.XLOOKUP(C3, customers!$A$2:$A$1001, customers!$G$2:$G$1001, , 0, 1)</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IF(J3="M","Medium",IF(J3="L","Large",IF(J3="D","Dark","")))</f>
        <v>Medium</v>
      </c>
      <c r="P3" t="str">
        <f>_xlfn.XLOOKUP(Orders[[#This Row],[Customer ID]],customers!$A$1:$A$1001,customers!$I$1:$I$1001,"",0)</f>
        <v>Yes</v>
      </c>
    </row>
    <row r="4" spans="1:16" x14ac:dyDescent="0.3">
      <c r="A4" s="2" t="s">
        <v>501</v>
      </c>
      <c r="B4" s="3">
        <v>44364</v>
      </c>
      <c r="C4" s="2" t="s">
        <v>502</v>
      </c>
      <c r="D4" t="s">
        <v>6140</v>
      </c>
      <c r="E4" s="2">
        <v>1</v>
      </c>
      <c r="F4" t="str">
        <f>_xlfn.XLOOKUP(C4, customers!$A$2:$A$1001, customers!$B$2:$B$1001, , 0, 1)</f>
        <v>Jami Redholes</v>
      </c>
      <c r="G4" s="2" t="str">
        <f>IF(_xlfn.XLOOKUP(C4,customers!$A$2:$A$1001,customers!$C$2:$C$1001,,0,1)=0,"",_xlfn.XLOOKUP(C4,customers!$A$2:$A$1001,customers!$C$2:$C$1001,,0,1))</f>
        <v>jredholes2@tmall.com</v>
      </c>
      <c r="H4" s="2" t="str">
        <f>_xlfn.XLOOKUP(C4, customers!$A$2:$A$1001, customers!$G$2:$G$1001, , 0, 1)</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Large</v>
      </c>
      <c r="P4" t="str">
        <f>_xlfn.XLOOKUP(Orders[[#This Row],[Customer ID]],customers!$A$1:$A$1001,customers!$I$1:$I$1001,"",0)</f>
        <v>Yes</v>
      </c>
    </row>
    <row r="5" spans="1:16" x14ac:dyDescent="0.3">
      <c r="A5" s="2" t="s">
        <v>512</v>
      </c>
      <c r="B5" s="3">
        <v>44392</v>
      </c>
      <c r="C5" s="2" t="s">
        <v>513</v>
      </c>
      <c r="D5" t="s">
        <v>6141</v>
      </c>
      <c r="E5" s="2">
        <v>2</v>
      </c>
      <c r="F5" t="str">
        <f>_xlfn.XLOOKUP(C5, customers!$A$2:$A$1001, customers!$B$2:$B$1001, , 0, 1)</f>
        <v>Christoffer O' Shea</v>
      </c>
      <c r="G5" s="2" t="str">
        <f>IF(_xlfn.XLOOKUP(C5,customers!$A$2:$A$1001,customers!$C$2:$C$1001,,0,1)=0,"",_xlfn.XLOOKUP(C5,customers!$A$2:$A$1001,customers!$C$2:$C$1001,,0,1))</f>
        <v/>
      </c>
      <c r="H5" s="2" t="str">
        <f>_xlfn.XLOOKUP(C5, customers!$A$2:$A$1001, customers!$G$2:$G$1001, , 0, 1)</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t="str">
        <f>_xlfn.XLOOKUP(C6, customers!$A$2:$A$1001, customers!$B$2:$B$1001, , 0, 1)</f>
        <v>Christoffer O' Shea</v>
      </c>
      <c r="G6" s="2" t="str">
        <f>IF(_xlfn.XLOOKUP(C6,customers!$A$2:$A$1001,customers!$C$2:$C$1001,,0,1)=0,"",_xlfn.XLOOKUP(C6,customers!$A$2:$A$1001,customers!$C$2:$C$1001,,0,1))</f>
        <v/>
      </c>
      <c r="H6" s="2" t="str">
        <f>_xlfn.XLOOKUP(C6, customers!$A$2:$A$1001, customers!$G$2:$G$1001, , 0, 1)</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Large</v>
      </c>
      <c r="P6" t="str">
        <f>_xlfn.XLOOKUP(Orders[[#This Row],[Customer ID]],customers!$A$1:$A$1001,customers!$I$1:$I$1001,"",0)</f>
        <v>No</v>
      </c>
    </row>
    <row r="7" spans="1:16" x14ac:dyDescent="0.3">
      <c r="A7" s="2" t="s">
        <v>519</v>
      </c>
      <c r="B7" s="3">
        <v>44412</v>
      </c>
      <c r="C7" s="2" t="s">
        <v>520</v>
      </c>
      <c r="D7" t="s">
        <v>6143</v>
      </c>
      <c r="E7" s="2">
        <v>3</v>
      </c>
      <c r="F7" t="str">
        <f>_xlfn.XLOOKUP(C7, customers!$A$2:$A$1001, customers!$B$2:$B$1001, , 0, 1)</f>
        <v>Beryle Cottier</v>
      </c>
      <c r="G7" s="2" t="str">
        <f>IF(_xlfn.XLOOKUP(C7,customers!$A$2:$A$1001,customers!$C$2:$C$1001,,0,1)=0,"",_xlfn.XLOOKUP(C7,customers!$A$2:$A$1001,customers!$C$2:$C$1001,,0,1))</f>
        <v/>
      </c>
      <c r="H7" s="2" t="str">
        <f>_xlfn.XLOOKUP(C7, customers!$A$2:$A$1001, customers!$G$2:$G$1001, , 0, 1)</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t="str">
        <f>_xlfn.XLOOKUP(C8, customers!$A$2:$A$1001, customers!$B$2:$B$1001, , 0, 1)</f>
        <v>Shaylynn Lobe</v>
      </c>
      <c r="G8" s="2" t="str">
        <f>IF(_xlfn.XLOOKUP(C8,customers!$A$2:$A$1001,customers!$C$2:$C$1001,,0,1)=0,"",_xlfn.XLOOKUP(C8,customers!$A$2:$A$1001,customers!$C$2:$C$1001,,0,1))</f>
        <v>slobe6@nifty.com</v>
      </c>
      <c r="H8" s="2" t="str">
        <f>_xlfn.XLOOKUP(C8, customers!$A$2:$A$1001, customers!$G$2:$G$1001, , 0, 1)</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t="str">
        <f>_xlfn.XLOOKUP(C9, customers!$A$2:$A$1001, customers!$B$2:$B$1001, , 0, 1)</f>
        <v>Melvin Wharfe</v>
      </c>
      <c r="G9" s="2" t="str">
        <f>IF(_xlfn.XLOOKUP(C9,customers!$A$2:$A$1001,customers!$C$2:$C$1001,,0,1)=0,"",_xlfn.XLOOKUP(C9,customers!$A$2:$A$1001,customers!$C$2:$C$1001,,0,1))</f>
        <v/>
      </c>
      <c r="H9" s="2" t="str">
        <f>_xlfn.XLOOKUP(C9, customers!$A$2:$A$1001, customers!$G$2:$G$1001, , 0, 1)</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Large</v>
      </c>
      <c r="P9" t="str">
        <f>_xlfn.XLOOKUP(Orders[[#This Row],[Customer ID]],customers!$A$1:$A$1001,customers!$I$1:$I$1001,"",0)</f>
        <v>Yes</v>
      </c>
    </row>
    <row r="10" spans="1:16" x14ac:dyDescent="0.3">
      <c r="A10" s="2" t="s">
        <v>535</v>
      </c>
      <c r="B10" s="3">
        <v>43467</v>
      </c>
      <c r="C10" s="2" t="s">
        <v>536</v>
      </c>
      <c r="D10" t="s">
        <v>6146</v>
      </c>
      <c r="E10" s="2">
        <v>3</v>
      </c>
      <c r="F10" t="str">
        <f>_xlfn.XLOOKUP(C10, customers!$A$2:$A$1001, customers!$B$2:$B$1001, , 0, 1)</f>
        <v>Guthrey Petracci</v>
      </c>
      <c r="G10" s="2" t="str">
        <f>IF(_xlfn.XLOOKUP(C10,customers!$A$2:$A$1001,customers!$C$2:$C$1001,,0,1)=0,"",_xlfn.XLOOKUP(C10,customers!$A$2:$A$1001,customers!$C$2:$C$1001,,0,1))</f>
        <v>gpetracci8@livejournal.com</v>
      </c>
      <c r="H10" s="2" t="str">
        <f>_xlfn.XLOOKUP(C10, customers!$A$2:$A$1001, customers!$G$2:$G$1001, , 0, 1)</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t="str">
        <f>_xlfn.XLOOKUP(C11, customers!$A$2:$A$1001, customers!$B$2:$B$1001, , 0, 1)</f>
        <v>Rodger Raven</v>
      </c>
      <c r="G11" s="2" t="str">
        <f>IF(_xlfn.XLOOKUP(C11,customers!$A$2:$A$1001,customers!$C$2:$C$1001,,0,1)=0,"",_xlfn.XLOOKUP(C11,customers!$A$2:$A$1001,customers!$C$2:$C$1001,,0,1))</f>
        <v>rraven9@ed.gov</v>
      </c>
      <c r="H11" s="2" t="str">
        <f>_xlfn.XLOOKUP(C11, customers!$A$2:$A$1001, customers!$G$2:$G$1001, , 0, 1)</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t="str">
        <f>_xlfn.XLOOKUP(C12, customers!$A$2:$A$1001, customers!$B$2:$B$1001, , 0, 1)</f>
        <v>Ferrell Ferber</v>
      </c>
      <c r="G12" s="2" t="str">
        <f>IF(_xlfn.XLOOKUP(C12,customers!$A$2:$A$1001,customers!$C$2:$C$1001,,0,1)=0,"",_xlfn.XLOOKUP(C12,customers!$A$2:$A$1001,customers!$C$2:$C$1001,,0,1))</f>
        <v>fferbera@businesswire.com</v>
      </c>
      <c r="H12" s="2" t="str">
        <f>_xlfn.XLOOKUP(C12, customers!$A$2:$A$1001, customers!$G$2:$G$1001, , 0, 1)</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t="str">
        <f>_xlfn.XLOOKUP(C13, customers!$A$2:$A$1001, customers!$B$2:$B$1001, , 0, 1)</f>
        <v>Duky Phizackerly</v>
      </c>
      <c r="G13" s="2" t="str">
        <f>IF(_xlfn.XLOOKUP(C13,customers!$A$2:$A$1001,customers!$C$2:$C$1001,,0,1)=0,"",_xlfn.XLOOKUP(C13,customers!$A$2:$A$1001,customers!$C$2:$C$1001,,0,1))</f>
        <v>dphizackerlyb@utexas.edu</v>
      </c>
      <c r="H13" s="2" t="str">
        <f>_xlfn.XLOOKUP(C13, customers!$A$2:$A$1001, customers!$G$2:$G$1001, , 0, 1)</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Large</v>
      </c>
      <c r="P13" t="str">
        <f>_xlfn.XLOOKUP(Orders[[#This Row],[Customer ID]],customers!$A$1:$A$1001,customers!$I$1:$I$1001,"",0)</f>
        <v>Yes</v>
      </c>
    </row>
    <row r="14" spans="1:16" x14ac:dyDescent="0.3">
      <c r="A14" s="2" t="s">
        <v>559</v>
      </c>
      <c r="B14" s="3">
        <v>44744</v>
      </c>
      <c r="C14" s="2" t="s">
        <v>560</v>
      </c>
      <c r="D14" t="s">
        <v>6138</v>
      </c>
      <c r="E14" s="2">
        <v>5</v>
      </c>
      <c r="F14" t="str">
        <f>_xlfn.XLOOKUP(C14, customers!$A$2:$A$1001, customers!$B$2:$B$1001, , 0, 1)</f>
        <v>Rosaleen Scholar</v>
      </c>
      <c r="G14" s="2" t="str">
        <f>IF(_xlfn.XLOOKUP(C14,customers!$A$2:$A$1001,customers!$C$2:$C$1001,,0,1)=0,"",_xlfn.XLOOKUP(C14,customers!$A$2:$A$1001,customers!$C$2:$C$1001,,0,1))</f>
        <v>rscholarc@nyu.edu</v>
      </c>
      <c r="H14" s="2" t="str">
        <f>_xlfn.XLOOKUP(C14, customers!$A$2:$A$1001, customers!$G$2:$G$1001, , 0, 1)</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t="str">
        <f>_xlfn.XLOOKUP(C15, customers!$A$2:$A$1001, customers!$B$2:$B$1001, , 0, 1)</f>
        <v>Terence Vanyutin</v>
      </c>
      <c r="G15" s="2" t="str">
        <f>IF(_xlfn.XLOOKUP(C15,customers!$A$2:$A$1001,customers!$C$2:$C$1001,,0,1)=0,"",_xlfn.XLOOKUP(C15,customers!$A$2:$A$1001,customers!$C$2:$C$1001,,0,1))</f>
        <v>tvanyutind@wix.com</v>
      </c>
      <c r="H15" s="2" t="str">
        <f>_xlfn.XLOOKUP(C15, customers!$A$2:$A$1001, customers!$G$2:$G$1001, , 0, 1)</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t="str">
        <f>_xlfn.XLOOKUP(C16, customers!$A$2:$A$1001, customers!$B$2:$B$1001, , 0, 1)</f>
        <v>Patrice Trobe</v>
      </c>
      <c r="G16" s="2" t="str">
        <f>IF(_xlfn.XLOOKUP(C16,customers!$A$2:$A$1001,customers!$C$2:$C$1001,,0,1)=0,"",_xlfn.XLOOKUP(C16,customers!$A$2:$A$1001,customers!$C$2:$C$1001,,0,1))</f>
        <v>ptrobee@wunderground.com</v>
      </c>
      <c r="H16" s="2" t="str">
        <f>_xlfn.XLOOKUP(C16, customers!$A$2:$A$1001, customers!$G$2:$G$1001, , 0, 1)</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t="str">
        <f>_xlfn.XLOOKUP(C17, customers!$A$2:$A$1001, customers!$B$2:$B$1001, , 0, 1)</f>
        <v>Llywellyn Oscroft</v>
      </c>
      <c r="G17" s="2" t="str">
        <f>IF(_xlfn.XLOOKUP(C17,customers!$A$2:$A$1001,customers!$C$2:$C$1001,,0,1)=0,"",_xlfn.XLOOKUP(C17,customers!$A$2:$A$1001,customers!$C$2:$C$1001,,0,1))</f>
        <v>loscroftf@ebay.co.uk</v>
      </c>
      <c r="H17" s="2" t="str">
        <f>_xlfn.XLOOKUP(C17, customers!$A$2:$A$1001, customers!$G$2:$G$1001, , 0, 1)</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t="str">
        <f>_xlfn.XLOOKUP(C18, customers!$A$2:$A$1001, customers!$B$2:$B$1001, , 0, 1)</f>
        <v>Minni Alabaster</v>
      </c>
      <c r="G18" s="2" t="str">
        <f>IF(_xlfn.XLOOKUP(C18,customers!$A$2:$A$1001,customers!$C$2:$C$1001,,0,1)=0,"",_xlfn.XLOOKUP(C18,customers!$A$2:$A$1001,customers!$C$2:$C$1001,,0,1))</f>
        <v>malabasterg@hexun.com</v>
      </c>
      <c r="H18" s="2" t="str">
        <f>_xlfn.XLOOKUP(C18, customers!$A$2:$A$1001, customers!$G$2:$G$1001, , 0, 1)</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t="str">
        <f>_xlfn.XLOOKUP(C19, customers!$A$2:$A$1001, customers!$B$2:$B$1001, , 0, 1)</f>
        <v>Rhianon Broxup</v>
      </c>
      <c r="G19" s="2" t="str">
        <f>IF(_xlfn.XLOOKUP(C19,customers!$A$2:$A$1001,customers!$C$2:$C$1001,,0,1)=0,"",_xlfn.XLOOKUP(C19,customers!$A$2:$A$1001,customers!$C$2:$C$1001,,0,1))</f>
        <v>rbroxuph@jimdo.com</v>
      </c>
      <c r="H19" s="2" t="str">
        <f>_xlfn.XLOOKUP(C19, customers!$A$2:$A$1001, customers!$G$2:$G$1001, , 0, 1)</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Large</v>
      </c>
      <c r="P19" t="str">
        <f>_xlfn.XLOOKUP(Orders[[#This Row],[Customer ID]],customers!$A$1:$A$1001,customers!$I$1:$I$1001,"",0)</f>
        <v>No</v>
      </c>
    </row>
    <row r="20" spans="1:16" x14ac:dyDescent="0.3">
      <c r="A20" s="2" t="s">
        <v>593</v>
      </c>
      <c r="B20" s="3">
        <v>43629</v>
      </c>
      <c r="C20" s="2" t="s">
        <v>594</v>
      </c>
      <c r="D20" t="s">
        <v>6149</v>
      </c>
      <c r="E20" s="2">
        <v>4</v>
      </c>
      <c r="F20" t="str">
        <f>_xlfn.XLOOKUP(C20, customers!$A$2:$A$1001, customers!$B$2:$B$1001, , 0, 1)</f>
        <v>Pall Redford</v>
      </c>
      <c r="G20" s="2" t="str">
        <f>IF(_xlfn.XLOOKUP(C20,customers!$A$2:$A$1001,customers!$C$2:$C$1001,,0,1)=0,"",_xlfn.XLOOKUP(C20,customers!$A$2:$A$1001,customers!$C$2:$C$1001,,0,1))</f>
        <v>predfordi@ow.ly</v>
      </c>
      <c r="H20" s="2" t="str">
        <f>_xlfn.XLOOKUP(C20, customers!$A$2:$A$1001, customers!$G$2:$G$1001, , 0, 1)</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t="str">
        <f>_xlfn.XLOOKUP(C21, customers!$A$2:$A$1001, customers!$B$2:$B$1001, , 0, 1)</f>
        <v>Aurea Corradino</v>
      </c>
      <c r="G21" s="2" t="str">
        <f>IF(_xlfn.XLOOKUP(C21,customers!$A$2:$A$1001,customers!$C$2:$C$1001,,0,1)=0,"",_xlfn.XLOOKUP(C21,customers!$A$2:$A$1001,customers!$C$2:$C$1001,,0,1))</f>
        <v>acorradinoj@harvard.edu</v>
      </c>
      <c r="H21" s="2" t="str">
        <f>_xlfn.XLOOKUP(C21, customers!$A$2:$A$1001, customers!$G$2:$G$1001, , 0, 1)</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t="str">
        <f>_xlfn.XLOOKUP(C22, customers!$A$2:$A$1001, customers!$B$2:$B$1001, , 0, 1)</f>
        <v>Aurea Corradino</v>
      </c>
      <c r="G22" s="2" t="str">
        <f>IF(_xlfn.XLOOKUP(C22,customers!$A$2:$A$1001,customers!$C$2:$C$1001,,0,1)=0,"",_xlfn.XLOOKUP(C22,customers!$A$2:$A$1001,customers!$C$2:$C$1001,,0,1))</f>
        <v>acorradinoj@harvard.edu</v>
      </c>
      <c r="H22" s="2" t="str">
        <f>_xlfn.XLOOKUP(C22, customers!$A$2:$A$1001, customers!$G$2:$G$1001, , 0, 1)</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t="str">
        <f>_xlfn.XLOOKUP(C23, customers!$A$2:$A$1001, customers!$B$2:$B$1001, , 0, 1)</f>
        <v>Avrit Davidowsky</v>
      </c>
      <c r="G23" s="2" t="str">
        <f>IF(_xlfn.XLOOKUP(C23,customers!$A$2:$A$1001,customers!$C$2:$C$1001,,0,1)=0,"",_xlfn.XLOOKUP(C23,customers!$A$2:$A$1001,customers!$C$2:$C$1001,,0,1))</f>
        <v>adavidowskyl@netvibes.com</v>
      </c>
      <c r="H23" s="2" t="str">
        <f>_xlfn.XLOOKUP(C23, customers!$A$2:$A$1001, customers!$G$2:$G$1001, , 0, 1)</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t="str">
        <f>_xlfn.XLOOKUP(C24, customers!$A$2:$A$1001, customers!$B$2:$B$1001, , 0, 1)</f>
        <v>Annabel Antuk</v>
      </c>
      <c r="G24" s="2" t="str">
        <f>IF(_xlfn.XLOOKUP(C24,customers!$A$2:$A$1001,customers!$C$2:$C$1001,,0,1)=0,"",_xlfn.XLOOKUP(C24,customers!$A$2:$A$1001,customers!$C$2:$C$1001,,0,1))</f>
        <v>aantukm@kickstarter.com</v>
      </c>
      <c r="H24" s="2" t="str">
        <f>_xlfn.XLOOKUP(C24, customers!$A$2:$A$1001, customers!$G$2:$G$1001, , 0, 1)</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t="str">
        <f>_xlfn.XLOOKUP(C25, customers!$A$2:$A$1001, customers!$B$2:$B$1001, , 0, 1)</f>
        <v>Iorgo Kleinert</v>
      </c>
      <c r="G25" s="2" t="str">
        <f>IF(_xlfn.XLOOKUP(C25,customers!$A$2:$A$1001,customers!$C$2:$C$1001,,0,1)=0,"",_xlfn.XLOOKUP(C25,customers!$A$2:$A$1001,customers!$C$2:$C$1001,,0,1))</f>
        <v>ikleinertn@timesonline.co.uk</v>
      </c>
      <c r="H25" s="2" t="str">
        <f>_xlfn.XLOOKUP(C25, customers!$A$2:$A$1001, customers!$G$2:$G$1001, , 0, 1)</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t="str">
        <f>_xlfn.XLOOKUP(C26, customers!$A$2:$A$1001, customers!$B$2:$B$1001, , 0, 1)</f>
        <v>Chrisy Blofeld</v>
      </c>
      <c r="G26" s="2" t="str">
        <f>IF(_xlfn.XLOOKUP(C26,customers!$A$2:$A$1001,customers!$C$2:$C$1001,,0,1)=0,"",_xlfn.XLOOKUP(C26,customers!$A$2:$A$1001,customers!$C$2:$C$1001,,0,1))</f>
        <v>cblofeldo@amazon.co.uk</v>
      </c>
      <c r="H26" s="2" t="str">
        <f>_xlfn.XLOOKUP(C26, customers!$A$2:$A$1001, customers!$G$2:$G$1001, , 0, 1)</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t="str">
        <f>_xlfn.XLOOKUP(C27, customers!$A$2:$A$1001, customers!$B$2:$B$1001, , 0, 1)</f>
        <v>Culley Farris</v>
      </c>
      <c r="G27" s="2" t="str">
        <f>IF(_xlfn.XLOOKUP(C27,customers!$A$2:$A$1001,customers!$C$2:$C$1001,,0,1)=0,"",_xlfn.XLOOKUP(C27,customers!$A$2:$A$1001,customers!$C$2:$C$1001,,0,1))</f>
        <v/>
      </c>
      <c r="H27" s="2" t="str">
        <f>_xlfn.XLOOKUP(C27, customers!$A$2:$A$1001, customers!$G$2:$G$1001, , 0, 1)</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t="str">
        <f>_xlfn.XLOOKUP(C28, customers!$A$2:$A$1001, customers!$B$2:$B$1001, , 0, 1)</f>
        <v>Selene Shales</v>
      </c>
      <c r="G28" s="2" t="str">
        <f>IF(_xlfn.XLOOKUP(C28,customers!$A$2:$A$1001,customers!$C$2:$C$1001,,0,1)=0,"",_xlfn.XLOOKUP(C28,customers!$A$2:$A$1001,customers!$C$2:$C$1001,,0,1))</f>
        <v>sshalesq@umich.edu</v>
      </c>
      <c r="H28" s="2" t="str">
        <f>_xlfn.XLOOKUP(C28, customers!$A$2:$A$1001, customers!$G$2:$G$1001, , 0, 1)</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t="str">
        <f>_xlfn.XLOOKUP(C29, customers!$A$2:$A$1001, customers!$B$2:$B$1001, , 0, 1)</f>
        <v>Vivie Danneil</v>
      </c>
      <c r="G29" s="2" t="str">
        <f>IF(_xlfn.XLOOKUP(C29,customers!$A$2:$A$1001,customers!$C$2:$C$1001,,0,1)=0,"",_xlfn.XLOOKUP(C29,customers!$A$2:$A$1001,customers!$C$2:$C$1001,,0,1))</f>
        <v>vdanneilr@mtv.com</v>
      </c>
      <c r="H29" s="2" t="str">
        <f>_xlfn.XLOOKUP(C29, customers!$A$2:$A$1001, customers!$G$2:$G$1001, , 0, 1)</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t="str">
        <f>_xlfn.XLOOKUP(C30, customers!$A$2:$A$1001, customers!$B$2:$B$1001, , 0, 1)</f>
        <v>Theresita Newbury</v>
      </c>
      <c r="G30" s="2" t="str">
        <f>IF(_xlfn.XLOOKUP(C30,customers!$A$2:$A$1001,customers!$C$2:$C$1001,,0,1)=0,"",_xlfn.XLOOKUP(C30,customers!$A$2:$A$1001,customers!$C$2:$C$1001,,0,1))</f>
        <v>tnewburys@usda.gov</v>
      </c>
      <c r="H30" s="2" t="str">
        <f>_xlfn.XLOOKUP(C30, customers!$A$2:$A$1001, customers!$G$2:$G$1001, , 0, 1)</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t="str">
        <f>_xlfn.XLOOKUP(C31, customers!$A$2:$A$1001, customers!$B$2:$B$1001, , 0, 1)</f>
        <v>Mozelle Calcutt</v>
      </c>
      <c r="G31" s="2" t="str">
        <f>IF(_xlfn.XLOOKUP(C31,customers!$A$2:$A$1001,customers!$C$2:$C$1001,,0,1)=0,"",_xlfn.XLOOKUP(C31,customers!$A$2:$A$1001,customers!$C$2:$C$1001,,0,1))</f>
        <v>mcalcuttt@baidu.com</v>
      </c>
      <c r="H31" s="2" t="str">
        <f>_xlfn.XLOOKUP(C31, customers!$A$2:$A$1001, customers!$G$2:$G$1001, , 0, 1)</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t="str">
        <f>_xlfn.XLOOKUP(C32, customers!$A$2:$A$1001, customers!$B$2:$B$1001, , 0, 1)</f>
        <v>Adrian Swaine</v>
      </c>
      <c r="G32" s="2" t="str">
        <f>IF(_xlfn.XLOOKUP(C32,customers!$A$2:$A$1001,customers!$C$2:$C$1001,,0,1)=0,"",_xlfn.XLOOKUP(C32,customers!$A$2:$A$1001,customers!$C$2:$C$1001,,0,1))</f>
        <v/>
      </c>
      <c r="H32" s="2" t="str">
        <f>_xlfn.XLOOKUP(C32, customers!$A$2:$A$1001, customers!$G$2:$G$1001, , 0, 1)</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t="str">
        <f>_xlfn.XLOOKUP(C33, customers!$A$2:$A$1001, customers!$B$2:$B$1001, , 0, 1)</f>
        <v>Adrian Swaine</v>
      </c>
      <c r="G33" s="2" t="str">
        <f>IF(_xlfn.XLOOKUP(C33,customers!$A$2:$A$1001,customers!$C$2:$C$1001,,0,1)=0,"",_xlfn.XLOOKUP(C33,customers!$A$2:$A$1001,customers!$C$2:$C$1001,,0,1))</f>
        <v/>
      </c>
      <c r="H33" s="2" t="str">
        <f>_xlfn.XLOOKUP(C33, customers!$A$2:$A$1001, customers!$G$2:$G$1001, , 0, 1)</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t="str">
        <f>_xlfn.XLOOKUP(C34, customers!$A$2:$A$1001, customers!$B$2:$B$1001, , 0, 1)</f>
        <v>Adrian Swaine</v>
      </c>
      <c r="G34" s="2" t="str">
        <f>IF(_xlfn.XLOOKUP(C34,customers!$A$2:$A$1001,customers!$C$2:$C$1001,,0,1)=0,"",_xlfn.XLOOKUP(C34,customers!$A$2:$A$1001,customers!$C$2:$C$1001,,0,1))</f>
        <v/>
      </c>
      <c r="H34" s="2" t="str">
        <f>_xlfn.XLOOKUP(C34, customers!$A$2:$A$1001, customers!$G$2:$G$1001, , 0, 1)</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t="str">
        <f>_xlfn.XLOOKUP(C35, customers!$A$2:$A$1001, customers!$B$2:$B$1001, , 0, 1)</f>
        <v>Gallard Gatheral</v>
      </c>
      <c r="G35" s="2" t="str">
        <f>IF(_xlfn.XLOOKUP(C35,customers!$A$2:$A$1001,customers!$C$2:$C$1001,,0,1)=0,"",_xlfn.XLOOKUP(C35,customers!$A$2:$A$1001,customers!$C$2:$C$1001,,0,1))</f>
        <v>ggatheralx@123-reg.co.uk</v>
      </c>
      <c r="H35" s="2" t="str">
        <f>_xlfn.XLOOKUP(C35, customers!$A$2:$A$1001, customers!$G$2:$G$1001, , 0, 1)</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Large</v>
      </c>
      <c r="P35" t="str">
        <f>_xlfn.XLOOKUP(Orders[[#This Row],[Customer ID]],customers!$A$1:$A$1001,customers!$I$1:$I$1001,"",0)</f>
        <v>No</v>
      </c>
    </row>
    <row r="36" spans="1:16" x14ac:dyDescent="0.3">
      <c r="A36" s="2" t="s">
        <v>681</v>
      </c>
      <c r="B36" s="3">
        <v>44011</v>
      </c>
      <c r="C36" s="2" t="s">
        <v>682</v>
      </c>
      <c r="D36" t="s">
        <v>6161</v>
      </c>
      <c r="E36" s="2">
        <v>6</v>
      </c>
      <c r="F36" t="str">
        <f>_xlfn.XLOOKUP(C36, customers!$A$2:$A$1001, customers!$B$2:$B$1001, , 0, 1)</f>
        <v>Una Welberry</v>
      </c>
      <c r="G36" s="2" t="str">
        <f>IF(_xlfn.XLOOKUP(C36,customers!$A$2:$A$1001,customers!$C$2:$C$1001,,0,1)=0,"",_xlfn.XLOOKUP(C36,customers!$A$2:$A$1001,customers!$C$2:$C$1001,,0,1))</f>
        <v>uwelberryy@ebay.co.uk</v>
      </c>
      <c r="H36" s="2" t="str">
        <f>_xlfn.XLOOKUP(C36, customers!$A$2:$A$1001, customers!$G$2:$G$1001, , 0, 1)</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Large</v>
      </c>
      <c r="P36" t="str">
        <f>_xlfn.XLOOKUP(Orders[[#This Row],[Customer ID]],customers!$A$1:$A$1001,customers!$I$1:$I$1001,"",0)</f>
        <v>Yes</v>
      </c>
    </row>
    <row r="37" spans="1:16" x14ac:dyDescent="0.3">
      <c r="A37" s="2" t="s">
        <v>687</v>
      </c>
      <c r="B37" s="3">
        <v>44348</v>
      </c>
      <c r="C37" s="2" t="s">
        <v>688</v>
      </c>
      <c r="D37" t="s">
        <v>6158</v>
      </c>
      <c r="E37" s="2">
        <v>6</v>
      </c>
      <c r="F37" t="str">
        <f>_xlfn.XLOOKUP(C37, customers!$A$2:$A$1001, customers!$B$2:$B$1001, , 0, 1)</f>
        <v>Faber Eilhart</v>
      </c>
      <c r="G37" s="2" t="str">
        <f>IF(_xlfn.XLOOKUP(C37,customers!$A$2:$A$1001,customers!$C$2:$C$1001,,0,1)=0,"",_xlfn.XLOOKUP(C37,customers!$A$2:$A$1001,customers!$C$2:$C$1001,,0,1))</f>
        <v>feilhartz@who.int</v>
      </c>
      <c r="H37" s="2" t="str">
        <f>_xlfn.XLOOKUP(C37, customers!$A$2:$A$1001, customers!$G$2:$G$1001, , 0, 1)</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t="str">
        <f>_xlfn.XLOOKUP(C38, customers!$A$2:$A$1001, customers!$B$2:$B$1001, , 0, 1)</f>
        <v>Zorina Ponting</v>
      </c>
      <c r="G38" s="2" t="str">
        <f>IF(_xlfn.XLOOKUP(C38,customers!$A$2:$A$1001,customers!$C$2:$C$1001,,0,1)=0,"",_xlfn.XLOOKUP(C38,customers!$A$2:$A$1001,customers!$C$2:$C$1001,,0,1))</f>
        <v>zponting10@altervista.org</v>
      </c>
      <c r="H38" s="2" t="str">
        <f>_xlfn.XLOOKUP(C38, customers!$A$2:$A$1001, customers!$G$2:$G$1001, , 0, 1)</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t="str">
        <f>_xlfn.XLOOKUP(C39, customers!$A$2:$A$1001, customers!$B$2:$B$1001, , 0, 1)</f>
        <v>Silvio Strase</v>
      </c>
      <c r="G39" s="2" t="str">
        <f>IF(_xlfn.XLOOKUP(C39,customers!$A$2:$A$1001,customers!$C$2:$C$1001,,0,1)=0,"",_xlfn.XLOOKUP(C39,customers!$A$2:$A$1001,customers!$C$2:$C$1001,,0,1))</f>
        <v>sstrase11@booking.com</v>
      </c>
      <c r="H39" s="2" t="str">
        <f>_xlfn.XLOOKUP(C39, customers!$A$2:$A$1001, customers!$G$2:$G$1001, , 0, 1)</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Large</v>
      </c>
      <c r="P39" t="str">
        <f>_xlfn.XLOOKUP(Orders[[#This Row],[Customer ID]],customers!$A$1:$A$1001,customers!$I$1:$I$1001,"",0)</f>
        <v>No</v>
      </c>
    </row>
    <row r="40" spans="1:16" x14ac:dyDescent="0.3">
      <c r="A40" s="2" t="s">
        <v>705</v>
      </c>
      <c r="B40" s="3">
        <v>43946</v>
      </c>
      <c r="C40" s="2" t="s">
        <v>706</v>
      </c>
      <c r="D40" t="s">
        <v>6151</v>
      </c>
      <c r="E40" s="2">
        <v>5</v>
      </c>
      <c r="F40" t="str">
        <f>_xlfn.XLOOKUP(C40, customers!$A$2:$A$1001, customers!$B$2:$B$1001, , 0, 1)</f>
        <v>Dorie de la Tremoille</v>
      </c>
      <c r="G40" s="2" t="str">
        <f>IF(_xlfn.XLOOKUP(C40,customers!$A$2:$A$1001,customers!$C$2:$C$1001,,0,1)=0,"",_xlfn.XLOOKUP(C40,customers!$A$2:$A$1001,customers!$C$2:$C$1001,,0,1))</f>
        <v>dde12@unesco.org</v>
      </c>
      <c r="H40" s="2" t="str">
        <f>_xlfn.XLOOKUP(C40, customers!$A$2:$A$1001, customers!$G$2:$G$1001, , 0, 1)</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t="str">
        <f>_xlfn.XLOOKUP(C41, customers!$A$2:$A$1001, customers!$B$2:$B$1001, , 0, 1)</f>
        <v>Hy Zanetto</v>
      </c>
      <c r="G41" s="2" t="str">
        <f>IF(_xlfn.XLOOKUP(C41,customers!$A$2:$A$1001,customers!$C$2:$C$1001,,0,1)=0,"",_xlfn.XLOOKUP(C41,customers!$A$2:$A$1001,customers!$C$2:$C$1001,,0,1))</f>
        <v/>
      </c>
      <c r="H41" s="2" t="str">
        <f>_xlfn.XLOOKUP(C41, customers!$A$2:$A$1001, customers!$G$2:$G$1001, , 0, 1)</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t="str">
        <f>_xlfn.XLOOKUP(C42, customers!$A$2:$A$1001, customers!$B$2:$B$1001, , 0, 1)</f>
        <v>Jessica McNess</v>
      </c>
      <c r="G42" s="2" t="str">
        <f>IF(_xlfn.XLOOKUP(C42,customers!$A$2:$A$1001,customers!$C$2:$C$1001,,0,1)=0,"",_xlfn.XLOOKUP(C42,customers!$A$2:$A$1001,customers!$C$2:$C$1001,,0,1))</f>
        <v/>
      </c>
      <c r="H42" s="2" t="str">
        <f>_xlfn.XLOOKUP(C42, customers!$A$2:$A$1001, customers!$G$2:$G$1001, , 0, 1)</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t="str">
        <f>_xlfn.XLOOKUP(C43, customers!$A$2:$A$1001, customers!$B$2:$B$1001, , 0, 1)</f>
        <v>Lorenzo Yeoland</v>
      </c>
      <c r="G43" s="2" t="str">
        <f>IF(_xlfn.XLOOKUP(C43,customers!$A$2:$A$1001,customers!$C$2:$C$1001,,0,1)=0,"",_xlfn.XLOOKUP(C43,customers!$A$2:$A$1001,customers!$C$2:$C$1001,,0,1))</f>
        <v>lyeoland15@pbs.org</v>
      </c>
      <c r="H43" s="2" t="str">
        <f>_xlfn.XLOOKUP(C43, customers!$A$2:$A$1001, customers!$G$2:$G$1001, , 0, 1)</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t="str">
        <f>_xlfn.XLOOKUP(C44, customers!$A$2:$A$1001, customers!$B$2:$B$1001, , 0, 1)</f>
        <v>Abigail Tolworthy</v>
      </c>
      <c r="G44" s="2" t="str">
        <f>IF(_xlfn.XLOOKUP(C44,customers!$A$2:$A$1001,customers!$C$2:$C$1001,,0,1)=0,"",_xlfn.XLOOKUP(C44,customers!$A$2:$A$1001,customers!$C$2:$C$1001,,0,1))</f>
        <v>atolworthy16@toplist.cz</v>
      </c>
      <c r="H44" s="2" t="str">
        <f>_xlfn.XLOOKUP(C44, customers!$A$2:$A$1001, customers!$G$2:$G$1001, , 0, 1)</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t="str">
        <f>_xlfn.XLOOKUP(C45, customers!$A$2:$A$1001, customers!$B$2:$B$1001, , 0, 1)</f>
        <v>Maurie Bartol</v>
      </c>
      <c r="G45" s="2" t="str">
        <f>IF(_xlfn.XLOOKUP(C45,customers!$A$2:$A$1001,customers!$C$2:$C$1001,,0,1)=0,"",_xlfn.XLOOKUP(C45,customers!$A$2:$A$1001,customers!$C$2:$C$1001,,0,1))</f>
        <v/>
      </c>
      <c r="H45" s="2" t="str">
        <f>_xlfn.XLOOKUP(C45, customers!$A$2:$A$1001, customers!$G$2:$G$1001, , 0, 1)</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Large</v>
      </c>
      <c r="P45" t="str">
        <f>_xlfn.XLOOKUP(Orders[[#This Row],[Customer ID]],customers!$A$1:$A$1001,customers!$I$1:$I$1001,"",0)</f>
        <v>No</v>
      </c>
    </row>
    <row r="46" spans="1:16" x14ac:dyDescent="0.3">
      <c r="A46" s="2" t="s">
        <v>738</v>
      </c>
      <c r="B46" s="3">
        <v>43932</v>
      </c>
      <c r="C46" s="2" t="s">
        <v>739</v>
      </c>
      <c r="D46" t="s">
        <v>6139</v>
      </c>
      <c r="E46" s="2">
        <v>2</v>
      </c>
      <c r="F46" t="str">
        <f>_xlfn.XLOOKUP(C46, customers!$A$2:$A$1001, customers!$B$2:$B$1001, , 0, 1)</f>
        <v>Olag Baudassi</v>
      </c>
      <c r="G46" s="2" t="str">
        <f>IF(_xlfn.XLOOKUP(C46,customers!$A$2:$A$1001,customers!$C$2:$C$1001,,0,1)=0,"",_xlfn.XLOOKUP(C46,customers!$A$2:$A$1001,customers!$C$2:$C$1001,,0,1))</f>
        <v>obaudassi18@seesaa.net</v>
      </c>
      <c r="H46" s="2" t="str">
        <f>_xlfn.XLOOKUP(C46, customers!$A$2:$A$1001, customers!$G$2:$G$1001, , 0, 1)</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t="str">
        <f>_xlfn.XLOOKUP(C47, customers!$A$2:$A$1001, customers!$B$2:$B$1001, , 0, 1)</f>
        <v>Petey Kingsbury</v>
      </c>
      <c r="G47" s="2" t="str">
        <f>IF(_xlfn.XLOOKUP(C47,customers!$A$2:$A$1001,customers!$C$2:$C$1001,,0,1)=0,"",_xlfn.XLOOKUP(C47,customers!$A$2:$A$1001,customers!$C$2:$C$1001,,0,1))</f>
        <v>pkingsbury19@comcast.net</v>
      </c>
      <c r="H47" s="2" t="str">
        <f>_xlfn.XLOOKUP(C47, customers!$A$2:$A$1001, customers!$G$2:$G$1001, , 0, 1)</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t="str">
        <f>_xlfn.XLOOKUP(C48, customers!$A$2:$A$1001, customers!$B$2:$B$1001, , 0, 1)</f>
        <v>Donna Baskeyfied</v>
      </c>
      <c r="G48" s="2" t="str">
        <f>IF(_xlfn.XLOOKUP(C48,customers!$A$2:$A$1001,customers!$C$2:$C$1001,,0,1)=0,"",_xlfn.XLOOKUP(C48,customers!$A$2:$A$1001,customers!$C$2:$C$1001,,0,1))</f>
        <v/>
      </c>
      <c r="H48" s="2" t="str">
        <f>_xlfn.XLOOKUP(C48, customers!$A$2:$A$1001, customers!$G$2:$G$1001, , 0, 1)</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t="str">
        <f>_xlfn.XLOOKUP(C49, customers!$A$2:$A$1001, customers!$B$2:$B$1001, , 0, 1)</f>
        <v>Arda Curley</v>
      </c>
      <c r="G49" s="2" t="str">
        <f>IF(_xlfn.XLOOKUP(C49,customers!$A$2:$A$1001,customers!$C$2:$C$1001,,0,1)=0,"",_xlfn.XLOOKUP(C49,customers!$A$2:$A$1001,customers!$C$2:$C$1001,,0,1))</f>
        <v>acurley1b@hao123.com</v>
      </c>
      <c r="H49" s="2" t="str">
        <f>_xlfn.XLOOKUP(C49, customers!$A$2:$A$1001, customers!$G$2:$G$1001, , 0, 1)</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Large</v>
      </c>
      <c r="P49" t="str">
        <f>_xlfn.XLOOKUP(Orders[[#This Row],[Customer ID]],customers!$A$1:$A$1001,customers!$I$1:$I$1001,"",0)</f>
        <v>Yes</v>
      </c>
    </row>
    <row r="50" spans="1:16" x14ac:dyDescent="0.3">
      <c r="A50" s="2" t="s">
        <v>761</v>
      </c>
      <c r="B50" s="3">
        <v>44085</v>
      </c>
      <c r="C50" s="2" t="s">
        <v>762</v>
      </c>
      <c r="D50" t="s">
        <v>6168</v>
      </c>
      <c r="E50" s="2">
        <v>4</v>
      </c>
      <c r="F50" t="str">
        <f>_xlfn.XLOOKUP(C50, customers!$A$2:$A$1001, customers!$B$2:$B$1001, , 0, 1)</f>
        <v>Raynor McGilvary</v>
      </c>
      <c r="G50" s="2" t="str">
        <f>IF(_xlfn.XLOOKUP(C50,customers!$A$2:$A$1001,customers!$C$2:$C$1001,,0,1)=0,"",_xlfn.XLOOKUP(C50,customers!$A$2:$A$1001,customers!$C$2:$C$1001,,0,1))</f>
        <v>rmcgilvary1c@tamu.edu</v>
      </c>
      <c r="H50" s="2" t="str">
        <f>_xlfn.XLOOKUP(C50, customers!$A$2:$A$1001, customers!$G$2:$G$1001, , 0, 1)</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t="str">
        <f>_xlfn.XLOOKUP(C51, customers!$A$2:$A$1001, customers!$B$2:$B$1001, , 0, 1)</f>
        <v>Isis Pikett</v>
      </c>
      <c r="G51" s="2" t="str">
        <f>IF(_xlfn.XLOOKUP(C51,customers!$A$2:$A$1001,customers!$C$2:$C$1001,,0,1)=0,"",_xlfn.XLOOKUP(C51,customers!$A$2:$A$1001,customers!$C$2:$C$1001,,0,1))</f>
        <v>ipikett1d@xinhuanet.com</v>
      </c>
      <c r="H51" s="2" t="str">
        <f>_xlfn.XLOOKUP(C51, customers!$A$2:$A$1001, customers!$G$2:$G$1001, , 0, 1)</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Large</v>
      </c>
      <c r="P51" t="str">
        <f>_xlfn.XLOOKUP(Orders[[#This Row],[Customer ID]],customers!$A$1:$A$1001,customers!$I$1:$I$1001,"",0)</f>
        <v>No</v>
      </c>
    </row>
    <row r="52" spans="1:16" x14ac:dyDescent="0.3">
      <c r="A52" s="2" t="s">
        <v>772</v>
      </c>
      <c r="B52" s="3">
        <v>44792</v>
      </c>
      <c r="C52" s="2" t="s">
        <v>773</v>
      </c>
      <c r="D52" t="s">
        <v>6169</v>
      </c>
      <c r="E52" s="2">
        <v>2</v>
      </c>
      <c r="F52" t="str">
        <f>_xlfn.XLOOKUP(C52, customers!$A$2:$A$1001, customers!$B$2:$B$1001, , 0, 1)</f>
        <v>Inger Bouldon</v>
      </c>
      <c r="G52" s="2" t="str">
        <f>IF(_xlfn.XLOOKUP(C52,customers!$A$2:$A$1001,customers!$C$2:$C$1001,,0,1)=0,"",_xlfn.XLOOKUP(C52,customers!$A$2:$A$1001,customers!$C$2:$C$1001,,0,1))</f>
        <v>ibouldon1e@gizmodo.com</v>
      </c>
      <c r="H52" s="2" t="str">
        <f>_xlfn.XLOOKUP(C52, customers!$A$2:$A$1001, customers!$G$2:$G$1001, , 0, 1)</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t="str">
        <f>_xlfn.XLOOKUP(C53, customers!$A$2:$A$1001, customers!$B$2:$B$1001, , 0, 1)</f>
        <v>Karry Flanders</v>
      </c>
      <c r="G53" s="2" t="str">
        <f>IF(_xlfn.XLOOKUP(C53,customers!$A$2:$A$1001,customers!$C$2:$C$1001,,0,1)=0,"",_xlfn.XLOOKUP(C53,customers!$A$2:$A$1001,customers!$C$2:$C$1001,,0,1))</f>
        <v>kflanders1f@over-blog.com</v>
      </c>
      <c r="H53" s="2" t="str">
        <f>_xlfn.XLOOKUP(C53, customers!$A$2:$A$1001, customers!$G$2:$G$1001, , 0, 1)</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Large</v>
      </c>
      <c r="P53" t="str">
        <f>_xlfn.XLOOKUP(Orders[[#This Row],[Customer ID]],customers!$A$1:$A$1001,customers!$I$1:$I$1001,"",0)</f>
        <v>Yes</v>
      </c>
    </row>
    <row r="54" spans="1:16" x14ac:dyDescent="0.3">
      <c r="A54" s="2" t="s">
        <v>784</v>
      </c>
      <c r="B54" s="3">
        <v>43719</v>
      </c>
      <c r="C54" s="2" t="s">
        <v>785</v>
      </c>
      <c r="D54" t="s">
        <v>6146</v>
      </c>
      <c r="E54" s="2">
        <v>5</v>
      </c>
      <c r="F54" t="str">
        <f>_xlfn.XLOOKUP(C54, customers!$A$2:$A$1001, customers!$B$2:$B$1001, , 0, 1)</f>
        <v>Hartley Mattioli</v>
      </c>
      <c r="G54" s="2" t="str">
        <f>IF(_xlfn.XLOOKUP(C54,customers!$A$2:$A$1001,customers!$C$2:$C$1001,,0,1)=0,"",_xlfn.XLOOKUP(C54,customers!$A$2:$A$1001,customers!$C$2:$C$1001,,0,1))</f>
        <v>hmattioli1g@webmd.com</v>
      </c>
      <c r="H54" s="2" t="str">
        <f>_xlfn.XLOOKUP(C54, customers!$A$2:$A$1001, customers!$G$2:$G$1001, , 0, 1)</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t="str">
        <f>_xlfn.XLOOKUP(C55, customers!$A$2:$A$1001, customers!$B$2:$B$1001, , 0, 1)</f>
        <v>Hartley Mattioli</v>
      </c>
      <c r="G55" s="2" t="str">
        <f>IF(_xlfn.XLOOKUP(C55,customers!$A$2:$A$1001,customers!$C$2:$C$1001,,0,1)=0,"",_xlfn.XLOOKUP(C55,customers!$A$2:$A$1001,customers!$C$2:$C$1001,,0,1))</f>
        <v>hmattioli1g@webmd.com</v>
      </c>
      <c r="H55" s="2" t="str">
        <f>_xlfn.XLOOKUP(C55, customers!$A$2:$A$1001, customers!$G$2:$G$1001, , 0, 1)</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Large</v>
      </c>
      <c r="P55" t="str">
        <f>_xlfn.XLOOKUP(Orders[[#This Row],[Customer ID]],customers!$A$1:$A$1001,customers!$I$1:$I$1001,"",0)</f>
        <v>No</v>
      </c>
    </row>
    <row r="56" spans="1:16" x14ac:dyDescent="0.3">
      <c r="A56" s="2" t="s">
        <v>794</v>
      </c>
      <c r="B56" s="3">
        <v>44271</v>
      </c>
      <c r="C56" s="2" t="s">
        <v>795</v>
      </c>
      <c r="D56" t="s">
        <v>6162</v>
      </c>
      <c r="E56" s="2">
        <v>5</v>
      </c>
      <c r="F56" t="str">
        <f>_xlfn.XLOOKUP(C56, customers!$A$2:$A$1001, customers!$B$2:$B$1001, , 0, 1)</f>
        <v>Archambault Gillard</v>
      </c>
      <c r="G56" s="2" t="str">
        <f>IF(_xlfn.XLOOKUP(C56,customers!$A$2:$A$1001,customers!$C$2:$C$1001,,0,1)=0,"",_xlfn.XLOOKUP(C56,customers!$A$2:$A$1001,customers!$C$2:$C$1001,,0,1))</f>
        <v>agillard1i@issuu.com</v>
      </c>
      <c r="H56" s="2" t="str">
        <f>_xlfn.XLOOKUP(C56, customers!$A$2:$A$1001, customers!$G$2:$G$1001, , 0, 1)</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t="str">
        <f>_xlfn.XLOOKUP(C57, customers!$A$2:$A$1001, customers!$B$2:$B$1001, , 0, 1)</f>
        <v>Salomo Cushworth</v>
      </c>
      <c r="G57" s="2" t="str">
        <f>IF(_xlfn.XLOOKUP(C57,customers!$A$2:$A$1001,customers!$C$2:$C$1001,,0,1)=0,"",_xlfn.XLOOKUP(C57,customers!$A$2:$A$1001,customers!$C$2:$C$1001,,0,1))</f>
        <v/>
      </c>
      <c r="H57" s="2" t="str">
        <f>_xlfn.XLOOKUP(C57, customers!$A$2:$A$1001, customers!$G$2:$G$1001, , 0, 1)</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Large</v>
      </c>
      <c r="P57" t="str">
        <f>_xlfn.XLOOKUP(Orders[[#This Row],[Customer ID]],customers!$A$1:$A$1001,customers!$I$1:$I$1001,"",0)</f>
        <v>No</v>
      </c>
    </row>
    <row r="58" spans="1:16" x14ac:dyDescent="0.3">
      <c r="A58" s="2" t="s">
        <v>805</v>
      </c>
      <c r="B58" s="3">
        <v>43857</v>
      </c>
      <c r="C58" s="2" t="s">
        <v>806</v>
      </c>
      <c r="D58" t="s">
        <v>6153</v>
      </c>
      <c r="E58" s="2">
        <v>3</v>
      </c>
      <c r="F58" t="str">
        <f>_xlfn.XLOOKUP(C58, customers!$A$2:$A$1001, customers!$B$2:$B$1001, , 0, 1)</f>
        <v>Theda Grizard</v>
      </c>
      <c r="G58" s="2" t="str">
        <f>IF(_xlfn.XLOOKUP(C58,customers!$A$2:$A$1001,customers!$C$2:$C$1001,,0,1)=0,"",_xlfn.XLOOKUP(C58,customers!$A$2:$A$1001,customers!$C$2:$C$1001,,0,1))</f>
        <v>tgrizard1k@odnoklassniki.ru</v>
      </c>
      <c r="H58" s="2" t="str">
        <f>_xlfn.XLOOKUP(C58, customers!$A$2:$A$1001, customers!$G$2:$G$1001, , 0, 1)</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t="str">
        <f>_xlfn.XLOOKUP(C59, customers!$A$2:$A$1001, customers!$B$2:$B$1001, , 0, 1)</f>
        <v>Rozele Relton</v>
      </c>
      <c r="G59" s="2" t="str">
        <f>IF(_xlfn.XLOOKUP(C59,customers!$A$2:$A$1001,customers!$C$2:$C$1001,,0,1)=0,"",_xlfn.XLOOKUP(C59,customers!$A$2:$A$1001,customers!$C$2:$C$1001,,0,1))</f>
        <v>rrelton1l@stanford.edu</v>
      </c>
      <c r="H59" s="2" t="str">
        <f>_xlfn.XLOOKUP(C59, customers!$A$2:$A$1001, customers!$G$2:$G$1001, , 0, 1)</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Large</v>
      </c>
      <c r="P59" t="str">
        <f>_xlfn.XLOOKUP(Orders[[#This Row],[Customer ID]],customers!$A$1:$A$1001,customers!$I$1:$I$1001,"",0)</f>
        <v>No</v>
      </c>
    </row>
    <row r="60" spans="1:16" x14ac:dyDescent="0.3">
      <c r="A60" s="2" t="s">
        <v>817</v>
      </c>
      <c r="B60" s="3">
        <v>44624</v>
      </c>
      <c r="C60" s="2" t="s">
        <v>818</v>
      </c>
      <c r="D60" t="s">
        <v>6165</v>
      </c>
      <c r="E60" s="2">
        <v>3</v>
      </c>
      <c r="F60" t="str">
        <f>_xlfn.XLOOKUP(C60, customers!$A$2:$A$1001, customers!$B$2:$B$1001, , 0, 1)</f>
        <v>Willa Rolling</v>
      </c>
      <c r="G60" s="2" t="str">
        <f>IF(_xlfn.XLOOKUP(C60,customers!$A$2:$A$1001,customers!$C$2:$C$1001,,0,1)=0,"",_xlfn.XLOOKUP(C60,customers!$A$2:$A$1001,customers!$C$2:$C$1001,,0,1))</f>
        <v/>
      </c>
      <c r="H60" s="2" t="str">
        <f>_xlfn.XLOOKUP(C60, customers!$A$2:$A$1001, customers!$G$2:$G$1001, , 0, 1)</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t="str">
        <f>_xlfn.XLOOKUP(C61, customers!$A$2:$A$1001, customers!$B$2:$B$1001, , 0, 1)</f>
        <v>Stanislaus Gilroy</v>
      </c>
      <c r="G61" s="2" t="str">
        <f>IF(_xlfn.XLOOKUP(C61,customers!$A$2:$A$1001,customers!$C$2:$C$1001,,0,1)=0,"",_xlfn.XLOOKUP(C61,customers!$A$2:$A$1001,customers!$C$2:$C$1001,,0,1))</f>
        <v>sgilroy1n@eepurl.com</v>
      </c>
      <c r="H61" s="2" t="str">
        <f>_xlfn.XLOOKUP(C61, customers!$A$2:$A$1001, customers!$G$2:$G$1001, , 0, 1)</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t="str">
        <f>_xlfn.XLOOKUP(C62, customers!$A$2:$A$1001, customers!$B$2:$B$1001, , 0, 1)</f>
        <v>Correy Cottingham</v>
      </c>
      <c r="G62" s="2" t="str">
        <f>IF(_xlfn.XLOOKUP(C62,customers!$A$2:$A$1001,customers!$C$2:$C$1001,,0,1)=0,"",_xlfn.XLOOKUP(C62,customers!$A$2:$A$1001,customers!$C$2:$C$1001,,0,1))</f>
        <v>ccottingham1o@wikipedia.org</v>
      </c>
      <c r="H62" s="2" t="str">
        <f>_xlfn.XLOOKUP(C62, customers!$A$2:$A$1001, customers!$G$2:$G$1001, , 0, 1)</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t="str">
        <f>_xlfn.XLOOKUP(C63, customers!$A$2:$A$1001, customers!$B$2:$B$1001, , 0, 1)</f>
        <v>Pammi Endacott</v>
      </c>
      <c r="G63" s="2" t="str">
        <f>IF(_xlfn.XLOOKUP(C63,customers!$A$2:$A$1001,customers!$C$2:$C$1001,,0,1)=0,"",_xlfn.XLOOKUP(C63,customers!$A$2:$A$1001,customers!$C$2:$C$1001,,0,1))</f>
        <v/>
      </c>
      <c r="H63" s="2" t="str">
        <f>_xlfn.XLOOKUP(C63, customers!$A$2:$A$1001, customers!$G$2:$G$1001, , 0, 1)</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t="str">
        <f>_xlfn.XLOOKUP(C64, customers!$A$2:$A$1001, customers!$B$2:$B$1001, , 0, 1)</f>
        <v>Nona Linklater</v>
      </c>
      <c r="G64" s="2" t="str">
        <f>IF(_xlfn.XLOOKUP(C64,customers!$A$2:$A$1001,customers!$C$2:$C$1001,,0,1)=0,"",_xlfn.XLOOKUP(C64,customers!$A$2:$A$1001,customers!$C$2:$C$1001,,0,1))</f>
        <v/>
      </c>
      <c r="H64" s="2" t="str">
        <f>_xlfn.XLOOKUP(C64, customers!$A$2:$A$1001, customers!$G$2:$G$1001, , 0, 1)</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Large</v>
      </c>
      <c r="P64" t="str">
        <f>_xlfn.XLOOKUP(Orders[[#This Row],[Customer ID]],customers!$A$1:$A$1001,customers!$I$1:$I$1001,"",0)</f>
        <v>Yes</v>
      </c>
    </row>
    <row r="65" spans="1:16" x14ac:dyDescent="0.3">
      <c r="A65" s="2" t="s">
        <v>843</v>
      </c>
      <c r="B65" s="3">
        <v>43868</v>
      </c>
      <c r="C65" s="2" t="s">
        <v>844</v>
      </c>
      <c r="D65" t="s">
        <v>6157</v>
      </c>
      <c r="E65" s="2">
        <v>1</v>
      </c>
      <c r="F65" t="str">
        <f>_xlfn.XLOOKUP(C65, customers!$A$2:$A$1001, customers!$B$2:$B$1001, , 0, 1)</f>
        <v>Annadiane Dykes</v>
      </c>
      <c r="G65" s="2" t="str">
        <f>IF(_xlfn.XLOOKUP(C65,customers!$A$2:$A$1001,customers!$C$2:$C$1001,,0,1)=0,"",_xlfn.XLOOKUP(C65,customers!$A$2:$A$1001,customers!$C$2:$C$1001,,0,1))</f>
        <v>adykes1r@eventbrite.com</v>
      </c>
      <c r="H65" s="2" t="str">
        <f>_xlfn.XLOOKUP(C65, customers!$A$2:$A$1001, customers!$G$2:$G$1001, , 0, 1)</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t="str">
        <f>_xlfn.XLOOKUP(C66, customers!$A$2:$A$1001, customers!$B$2:$B$1001, , 0, 1)</f>
        <v>Felecia Dodgson</v>
      </c>
      <c r="G66" s="2" t="str">
        <f>IF(_xlfn.XLOOKUP(C66,customers!$A$2:$A$1001,customers!$C$2:$C$1001,,0,1)=0,"",_xlfn.XLOOKUP(C66,customers!$A$2:$A$1001,customers!$C$2:$C$1001,,0,1))</f>
        <v/>
      </c>
      <c r="H66" s="2" t="str">
        <f>_xlfn.XLOOKUP(C66, customers!$A$2:$A$1001, customers!$G$2:$G$1001, , 0, 1)</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t="str">
        <f>_xlfn.XLOOKUP(C67, customers!$A$2:$A$1001, customers!$B$2:$B$1001, , 0, 1)</f>
        <v>Angelia Cockrem</v>
      </c>
      <c r="G67" s="2" t="str">
        <f>IF(_xlfn.XLOOKUP(C67,customers!$A$2:$A$1001,customers!$C$2:$C$1001,,0,1)=0,"",_xlfn.XLOOKUP(C67,customers!$A$2:$A$1001,customers!$C$2:$C$1001,,0,1))</f>
        <v>acockrem1t@engadget.com</v>
      </c>
      <c r="H67" s="2" t="str">
        <f>_xlfn.XLOOKUP(C67, customers!$A$2:$A$1001, customers!$G$2:$G$1001, , 0, 1)</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IF(J67="M","Medium",IF(J67="L","Large",IF(J67="D","Dark","")))</f>
        <v>Dark</v>
      </c>
      <c r="P67" t="str">
        <f>_xlfn.XLOOKUP(Orders[[#This Row],[Customer ID]],customers!$A$1:$A$1001,customers!$I$1:$I$1001,"",0)</f>
        <v>Yes</v>
      </c>
    </row>
    <row r="68" spans="1:16" x14ac:dyDescent="0.3">
      <c r="A68" s="2" t="s">
        <v>860</v>
      </c>
      <c r="B68" s="3">
        <v>44666</v>
      </c>
      <c r="C68" s="2" t="s">
        <v>861</v>
      </c>
      <c r="D68" t="s">
        <v>6173</v>
      </c>
      <c r="E68" s="2">
        <v>1</v>
      </c>
      <c r="F68" t="str">
        <f>_xlfn.XLOOKUP(C68, customers!$A$2:$A$1001, customers!$B$2:$B$1001, , 0, 1)</f>
        <v>Belvia Umpleby</v>
      </c>
      <c r="G68" s="2" t="str">
        <f>IF(_xlfn.XLOOKUP(C68,customers!$A$2:$A$1001,customers!$C$2:$C$1001,,0,1)=0,"",_xlfn.XLOOKUP(C68,customers!$A$2:$A$1001,customers!$C$2:$C$1001,,0,1))</f>
        <v>bumpleby1u@soundcloud.com</v>
      </c>
      <c r="H68" s="2" t="str">
        <f>_xlfn.XLOOKUP(C68, customers!$A$2:$A$1001, customers!$G$2:$G$1001, , 0, 1)</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Large</v>
      </c>
      <c r="P68" t="str">
        <f>_xlfn.XLOOKUP(Orders[[#This Row],[Customer ID]],customers!$A$1:$A$1001,customers!$I$1:$I$1001,"",0)</f>
        <v>Yes</v>
      </c>
    </row>
    <row r="69" spans="1:16" x14ac:dyDescent="0.3">
      <c r="A69" s="2" t="s">
        <v>866</v>
      </c>
      <c r="B69" s="3">
        <v>44519</v>
      </c>
      <c r="C69" s="2" t="s">
        <v>867</v>
      </c>
      <c r="D69" t="s">
        <v>6145</v>
      </c>
      <c r="E69" s="2">
        <v>2</v>
      </c>
      <c r="F69" t="str">
        <f>_xlfn.XLOOKUP(C69, customers!$A$2:$A$1001, customers!$B$2:$B$1001, , 0, 1)</f>
        <v>Nat Saleway</v>
      </c>
      <c r="G69" s="2" t="str">
        <f>IF(_xlfn.XLOOKUP(C69,customers!$A$2:$A$1001,customers!$C$2:$C$1001,,0,1)=0,"",_xlfn.XLOOKUP(C69,customers!$A$2:$A$1001,customers!$C$2:$C$1001,,0,1))</f>
        <v>nsaleway1v@dedecms.com</v>
      </c>
      <c r="H69" s="2" t="str">
        <f>_xlfn.XLOOKUP(C69, customers!$A$2:$A$1001, customers!$G$2:$G$1001, , 0, 1)</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Large</v>
      </c>
      <c r="P69" t="str">
        <f>_xlfn.XLOOKUP(Orders[[#This Row],[Customer ID]],customers!$A$1:$A$1001,customers!$I$1:$I$1001,"",0)</f>
        <v>No</v>
      </c>
    </row>
    <row r="70" spans="1:16" x14ac:dyDescent="0.3">
      <c r="A70" s="2" t="s">
        <v>872</v>
      </c>
      <c r="B70" s="3">
        <v>43754</v>
      </c>
      <c r="C70" s="2" t="s">
        <v>873</v>
      </c>
      <c r="D70" t="s">
        <v>6174</v>
      </c>
      <c r="E70" s="2">
        <v>1</v>
      </c>
      <c r="F70" t="str">
        <f>_xlfn.XLOOKUP(C70, customers!$A$2:$A$1001, customers!$B$2:$B$1001, , 0, 1)</f>
        <v>Hayward Goulter</v>
      </c>
      <c r="G70" s="2" t="str">
        <f>IF(_xlfn.XLOOKUP(C70,customers!$A$2:$A$1001,customers!$C$2:$C$1001,,0,1)=0,"",_xlfn.XLOOKUP(C70,customers!$A$2:$A$1001,customers!$C$2:$C$1001,,0,1))</f>
        <v>hgoulter1w@abc.net.au</v>
      </c>
      <c r="H70" s="2" t="str">
        <f>_xlfn.XLOOKUP(C70, customers!$A$2:$A$1001, customers!$G$2:$G$1001, , 0, 1)</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t="str">
        <f>_xlfn.XLOOKUP(C71, customers!$A$2:$A$1001, customers!$B$2:$B$1001, , 0, 1)</f>
        <v>Gay Rizzello</v>
      </c>
      <c r="G71" s="2" t="str">
        <f>IF(_xlfn.XLOOKUP(C71,customers!$A$2:$A$1001,customers!$C$2:$C$1001,,0,1)=0,"",_xlfn.XLOOKUP(C71,customers!$A$2:$A$1001,customers!$C$2:$C$1001,,0,1))</f>
        <v>grizzello1x@symantec.com</v>
      </c>
      <c r="H71" s="2" t="str">
        <f>_xlfn.XLOOKUP(C71, customers!$A$2:$A$1001, customers!$G$2:$G$1001, , 0, 1)</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t="str">
        <f>_xlfn.XLOOKUP(C72, customers!$A$2:$A$1001, customers!$B$2:$B$1001, , 0, 1)</f>
        <v>Shannon List</v>
      </c>
      <c r="G72" s="2" t="str">
        <f>IF(_xlfn.XLOOKUP(C72,customers!$A$2:$A$1001,customers!$C$2:$C$1001,,0,1)=0,"",_xlfn.XLOOKUP(C72,customers!$A$2:$A$1001,customers!$C$2:$C$1001,,0,1))</f>
        <v>slist1y@mapquest.com</v>
      </c>
      <c r="H72" s="2" t="str">
        <f>_xlfn.XLOOKUP(C72, customers!$A$2:$A$1001, customers!$G$2:$G$1001, , 0, 1)</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Large</v>
      </c>
      <c r="P72" t="str">
        <f>_xlfn.XLOOKUP(Orders[[#This Row],[Customer ID]],customers!$A$1:$A$1001,customers!$I$1:$I$1001,"",0)</f>
        <v>No</v>
      </c>
    </row>
    <row r="73" spans="1:16" x14ac:dyDescent="0.3">
      <c r="A73" s="2" t="s">
        <v>891</v>
      </c>
      <c r="B73" s="3">
        <v>44200</v>
      </c>
      <c r="C73" s="2" t="s">
        <v>892</v>
      </c>
      <c r="D73" t="s">
        <v>6145</v>
      </c>
      <c r="E73" s="2">
        <v>2</v>
      </c>
      <c r="F73" t="str">
        <f>_xlfn.XLOOKUP(C73, customers!$A$2:$A$1001, customers!$B$2:$B$1001, , 0, 1)</f>
        <v>Shirlene Edmondson</v>
      </c>
      <c r="G73" s="2" t="str">
        <f>IF(_xlfn.XLOOKUP(C73,customers!$A$2:$A$1001,customers!$C$2:$C$1001,,0,1)=0,"",_xlfn.XLOOKUP(C73,customers!$A$2:$A$1001,customers!$C$2:$C$1001,,0,1))</f>
        <v>sedmondson1z@theguardian.com</v>
      </c>
      <c r="H73" s="2" t="str">
        <f>_xlfn.XLOOKUP(C73, customers!$A$2:$A$1001, customers!$G$2:$G$1001, , 0, 1)</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Large</v>
      </c>
      <c r="P73" t="str">
        <f>_xlfn.XLOOKUP(Orders[[#This Row],[Customer ID]],customers!$A$1:$A$1001,customers!$I$1:$I$1001,"",0)</f>
        <v>No</v>
      </c>
    </row>
    <row r="74" spans="1:16" x14ac:dyDescent="0.3">
      <c r="A74" s="2" t="s">
        <v>897</v>
      </c>
      <c r="B74" s="3">
        <v>44131</v>
      </c>
      <c r="C74" s="2" t="s">
        <v>898</v>
      </c>
      <c r="D74" t="s">
        <v>6175</v>
      </c>
      <c r="E74" s="2">
        <v>3</v>
      </c>
      <c r="F74" t="str">
        <f>_xlfn.XLOOKUP(C74, customers!$A$2:$A$1001, customers!$B$2:$B$1001, , 0, 1)</f>
        <v>Aurlie McCarl</v>
      </c>
      <c r="G74" s="2" t="str">
        <f>IF(_xlfn.XLOOKUP(C74,customers!$A$2:$A$1001,customers!$C$2:$C$1001,,0,1)=0,"",_xlfn.XLOOKUP(C74,customers!$A$2:$A$1001,customers!$C$2:$C$1001,,0,1))</f>
        <v/>
      </c>
      <c r="H74" s="2" t="str">
        <f>_xlfn.XLOOKUP(C74, customers!$A$2:$A$1001, customers!$G$2:$G$1001, , 0, 1)</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t="str">
        <f>_xlfn.XLOOKUP(C75, customers!$A$2:$A$1001, customers!$B$2:$B$1001, , 0, 1)</f>
        <v>Alikee Carryer</v>
      </c>
      <c r="G75" s="2" t="str">
        <f>IF(_xlfn.XLOOKUP(C75,customers!$A$2:$A$1001,customers!$C$2:$C$1001,,0,1)=0,"",_xlfn.XLOOKUP(C75,customers!$A$2:$A$1001,customers!$C$2:$C$1001,,0,1))</f>
        <v/>
      </c>
      <c r="H75" s="2" t="str">
        <f>_xlfn.XLOOKUP(C75, customers!$A$2:$A$1001, customers!$G$2:$G$1001, , 0, 1)</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t="str">
        <f>_xlfn.XLOOKUP(C76, customers!$A$2:$A$1001, customers!$B$2:$B$1001, , 0, 1)</f>
        <v>Jennifer Rangall</v>
      </c>
      <c r="G76" s="2" t="str">
        <f>IF(_xlfn.XLOOKUP(C76,customers!$A$2:$A$1001,customers!$C$2:$C$1001,,0,1)=0,"",_xlfn.XLOOKUP(C76,customers!$A$2:$A$1001,customers!$C$2:$C$1001,,0,1))</f>
        <v>jrangall22@newsvine.com</v>
      </c>
      <c r="H76" s="2" t="str">
        <f>_xlfn.XLOOKUP(C76, customers!$A$2:$A$1001, customers!$G$2:$G$1001, , 0, 1)</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Large</v>
      </c>
      <c r="P76" t="str">
        <f>_xlfn.XLOOKUP(Orders[[#This Row],[Customer ID]],customers!$A$1:$A$1001,customers!$I$1:$I$1001,"",0)</f>
        <v>Yes</v>
      </c>
    </row>
    <row r="77" spans="1:16" x14ac:dyDescent="0.3">
      <c r="A77" s="2" t="s">
        <v>913</v>
      </c>
      <c r="B77" s="3">
        <v>44400</v>
      </c>
      <c r="C77" s="2" t="s">
        <v>914</v>
      </c>
      <c r="D77" t="s">
        <v>6177</v>
      </c>
      <c r="E77" s="2">
        <v>6</v>
      </c>
      <c r="F77" t="str">
        <f>_xlfn.XLOOKUP(C77, customers!$A$2:$A$1001, customers!$B$2:$B$1001, , 0, 1)</f>
        <v>Kipper Boorn</v>
      </c>
      <c r="G77" s="2" t="str">
        <f>IF(_xlfn.XLOOKUP(C77,customers!$A$2:$A$1001,customers!$C$2:$C$1001,,0,1)=0,"",_xlfn.XLOOKUP(C77,customers!$A$2:$A$1001,customers!$C$2:$C$1001,,0,1))</f>
        <v>kboorn23@ezinearticles.com</v>
      </c>
      <c r="H77" s="2" t="str">
        <f>_xlfn.XLOOKUP(C77, customers!$A$2:$A$1001, customers!$G$2:$G$1001, , 0, 1)</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t="str">
        <f>_xlfn.XLOOKUP(C78, customers!$A$2:$A$1001, customers!$B$2:$B$1001, , 0, 1)</f>
        <v>Melania Beadle</v>
      </c>
      <c r="G78" s="2" t="str">
        <f>IF(_xlfn.XLOOKUP(C78,customers!$A$2:$A$1001,customers!$C$2:$C$1001,,0,1)=0,"",_xlfn.XLOOKUP(C78,customers!$A$2:$A$1001,customers!$C$2:$C$1001,,0,1))</f>
        <v/>
      </c>
      <c r="H78" s="2" t="str">
        <f>_xlfn.XLOOKUP(C78, customers!$A$2:$A$1001, customers!$G$2:$G$1001, , 0, 1)</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Large</v>
      </c>
      <c r="P78" t="str">
        <f>_xlfn.XLOOKUP(Orders[[#This Row],[Customer ID]],customers!$A$1:$A$1001,customers!$I$1:$I$1001,"",0)</f>
        <v>Yes</v>
      </c>
    </row>
    <row r="79" spans="1:16" x14ac:dyDescent="0.3">
      <c r="A79" s="2" t="s">
        <v>924</v>
      </c>
      <c r="B79" s="3">
        <v>43594</v>
      </c>
      <c r="C79" s="2" t="s">
        <v>925</v>
      </c>
      <c r="D79" t="s">
        <v>6153</v>
      </c>
      <c r="E79" s="2">
        <v>2</v>
      </c>
      <c r="F79" t="str">
        <f>_xlfn.XLOOKUP(C79, customers!$A$2:$A$1001, customers!$B$2:$B$1001, , 0, 1)</f>
        <v>Colene Elgey</v>
      </c>
      <c r="G79" s="2" t="str">
        <f>IF(_xlfn.XLOOKUP(C79,customers!$A$2:$A$1001,customers!$C$2:$C$1001,,0,1)=0,"",_xlfn.XLOOKUP(C79,customers!$A$2:$A$1001,customers!$C$2:$C$1001,,0,1))</f>
        <v>celgey25@webs.com</v>
      </c>
      <c r="H79" s="2" t="str">
        <f>_xlfn.XLOOKUP(C79, customers!$A$2:$A$1001, customers!$G$2:$G$1001, , 0, 1)</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t="str">
        <f>_xlfn.XLOOKUP(C80, customers!$A$2:$A$1001, customers!$B$2:$B$1001, , 0, 1)</f>
        <v>Lothaire Mizzi</v>
      </c>
      <c r="G80" s="2" t="str">
        <f>IF(_xlfn.XLOOKUP(C80,customers!$A$2:$A$1001,customers!$C$2:$C$1001,,0,1)=0,"",_xlfn.XLOOKUP(C80,customers!$A$2:$A$1001,customers!$C$2:$C$1001,,0,1))</f>
        <v>lmizzi26@rakuten.co.jp</v>
      </c>
      <c r="H80" s="2" t="str">
        <f>_xlfn.XLOOKUP(C80, customers!$A$2:$A$1001, customers!$G$2:$G$1001, , 0, 1)</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t="str">
        <f>_xlfn.XLOOKUP(C81, customers!$A$2:$A$1001, customers!$B$2:$B$1001, , 0, 1)</f>
        <v>Cletis Giacomazzo</v>
      </c>
      <c r="G81" s="2" t="str">
        <f>IF(_xlfn.XLOOKUP(C81,customers!$A$2:$A$1001,customers!$C$2:$C$1001,,0,1)=0,"",_xlfn.XLOOKUP(C81,customers!$A$2:$A$1001,customers!$C$2:$C$1001,,0,1))</f>
        <v>cgiacomazzo27@jigsy.com</v>
      </c>
      <c r="H81" s="2" t="str">
        <f>_xlfn.XLOOKUP(C81, customers!$A$2:$A$1001, customers!$G$2:$G$1001, , 0, 1)</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Large</v>
      </c>
      <c r="P81" t="str">
        <f>_xlfn.XLOOKUP(Orders[[#This Row],[Customer ID]],customers!$A$1:$A$1001,customers!$I$1:$I$1001,"",0)</f>
        <v>No</v>
      </c>
    </row>
    <row r="82" spans="1:16" x14ac:dyDescent="0.3">
      <c r="A82" s="2" t="s">
        <v>942</v>
      </c>
      <c r="B82" s="3">
        <v>43572</v>
      </c>
      <c r="C82" s="2" t="s">
        <v>943</v>
      </c>
      <c r="D82" t="s">
        <v>6180</v>
      </c>
      <c r="E82" s="2">
        <v>5</v>
      </c>
      <c r="F82" t="str">
        <f>_xlfn.XLOOKUP(C82, customers!$A$2:$A$1001, customers!$B$2:$B$1001, , 0, 1)</f>
        <v>Ami Arnow</v>
      </c>
      <c r="G82" s="2" t="str">
        <f>IF(_xlfn.XLOOKUP(C82,customers!$A$2:$A$1001,customers!$C$2:$C$1001,,0,1)=0,"",_xlfn.XLOOKUP(C82,customers!$A$2:$A$1001,customers!$C$2:$C$1001,,0,1))</f>
        <v>aarnow28@arizona.edu</v>
      </c>
      <c r="H82" s="2" t="str">
        <f>_xlfn.XLOOKUP(C82, customers!$A$2:$A$1001, customers!$G$2:$G$1001, , 0, 1)</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Large</v>
      </c>
      <c r="P82" t="str">
        <f>_xlfn.XLOOKUP(Orders[[#This Row],[Customer ID]],customers!$A$1:$A$1001,customers!$I$1:$I$1001,"",0)</f>
        <v>Yes</v>
      </c>
    </row>
    <row r="83" spans="1:16" x14ac:dyDescent="0.3">
      <c r="A83" s="2" t="s">
        <v>948</v>
      </c>
      <c r="B83" s="3">
        <v>43763</v>
      </c>
      <c r="C83" s="2" t="s">
        <v>949</v>
      </c>
      <c r="D83" t="s">
        <v>6164</v>
      </c>
      <c r="E83" s="2">
        <v>3</v>
      </c>
      <c r="F83" t="str">
        <f>_xlfn.XLOOKUP(C83, customers!$A$2:$A$1001, customers!$B$2:$B$1001, , 0, 1)</f>
        <v>Sheppard Yann</v>
      </c>
      <c r="G83" s="2" t="str">
        <f>IF(_xlfn.XLOOKUP(C83,customers!$A$2:$A$1001,customers!$C$2:$C$1001,,0,1)=0,"",_xlfn.XLOOKUP(C83,customers!$A$2:$A$1001,customers!$C$2:$C$1001,,0,1))</f>
        <v>syann29@senate.gov</v>
      </c>
      <c r="H83" s="2" t="str">
        <f>_xlfn.XLOOKUP(C83, customers!$A$2:$A$1001, customers!$G$2:$G$1001, , 0, 1)</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Large</v>
      </c>
      <c r="P83" t="str">
        <f>_xlfn.XLOOKUP(Orders[[#This Row],[Customer ID]],customers!$A$1:$A$1001,customers!$I$1:$I$1001,"",0)</f>
        <v>Yes</v>
      </c>
    </row>
    <row r="84" spans="1:16" x14ac:dyDescent="0.3">
      <c r="A84" s="2" t="s">
        <v>954</v>
      </c>
      <c r="B84" s="3">
        <v>43721</v>
      </c>
      <c r="C84" s="2" t="s">
        <v>955</v>
      </c>
      <c r="D84" t="s">
        <v>6181</v>
      </c>
      <c r="E84" s="2">
        <v>3</v>
      </c>
      <c r="F84" t="str">
        <f>_xlfn.XLOOKUP(C84, customers!$A$2:$A$1001, customers!$B$2:$B$1001, , 0, 1)</f>
        <v>Bunny Naulls</v>
      </c>
      <c r="G84" s="2" t="str">
        <f>IF(_xlfn.XLOOKUP(C84,customers!$A$2:$A$1001,customers!$C$2:$C$1001,,0,1)=0,"",_xlfn.XLOOKUP(C84,customers!$A$2:$A$1001,customers!$C$2:$C$1001,,0,1))</f>
        <v>bnaulls2a@tiny.cc</v>
      </c>
      <c r="H84" s="2" t="str">
        <f>_xlfn.XLOOKUP(C84, customers!$A$2:$A$1001, customers!$G$2:$G$1001, , 0, 1)</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t="str">
        <f>_xlfn.XLOOKUP(C85, customers!$A$2:$A$1001, customers!$B$2:$B$1001, , 0, 1)</f>
        <v>Hally Lorait</v>
      </c>
      <c r="G85" s="2" t="str">
        <f>IF(_xlfn.XLOOKUP(C85,customers!$A$2:$A$1001,customers!$C$2:$C$1001,,0,1)=0,"",_xlfn.XLOOKUP(C85,customers!$A$2:$A$1001,customers!$C$2:$C$1001,,0,1))</f>
        <v/>
      </c>
      <c r="H85" s="2" t="str">
        <f>_xlfn.XLOOKUP(C85, customers!$A$2:$A$1001, customers!$G$2:$G$1001, , 0, 1)</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t="str">
        <f>_xlfn.XLOOKUP(C86, customers!$A$2:$A$1001, customers!$B$2:$B$1001, , 0, 1)</f>
        <v>Zaccaria Sherewood</v>
      </c>
      <c r="G86" s="2" t="str">
        <f>IF(_xlfn.XLOOKUP(C86,customers!$A$2:$A$1001,customers!$C$2:$C$1001,,0,1)=0,"",_xlfn.XLOOKUP(C86,customers!$A$2:$A$1001,customers!$C$2:$C$1001,,0,1))</f>
        <v>zsherewood2c@apache.org</v>
      </c>
      <c r="H86" s="2" t="str">
        <f>_xlfn.XLOOKUP(C86, customers!$A$2:$A$1001, customers!$G$2:$G$1001, , 0, 1)</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Large</v>
      </c>
      <c r="P86" t="str">
        <f>_xlfn.XLOOKUP(Orders[[#This Row],[Customer ID]],customers!$A$1:$A$1001,customers!$I$1:$I$1001,"",0)</f>
        <v>No</v>
      </c>
    </row>
    <row r="87" spans="1:16" x14ac:dyDescent="0.3">
      <c r="A87" s="2" t="s">
        <v>971</v>
      </c>
      <c r="B87" s="3">
        <v>43664</v>
      </c>
      <c r="C87" s="2" t="s">
        <v>972</v>
      </c>
      <c r="D87" t="s">
        <v>6182</v>
      </c>
      <c r="E87" s="2">
        <v>3</v>
      </c>
      <c r="F87" t="str">
        <f>_xlfn.XLOOKUP(C87, customers!$A$2:$A$1001, customers!$B$2:$B$1001, , 0, 1)</f>
        <v>Jeffrey Dufaire</v>
      </c>
      <c r="G87" s="2" t="str">
        <f>IF(_xlfn.XLOOKUP(C87,customers!$A$2:$A$1001,customers!$C$2:$C$1001,,0,1)=0,"",_xlfn.XLOOKUP(C87,customers!$A$2:$A$1001,customers!$C$2:$C$1001,,0,1))</f>
        <v>jdufaire2d@fc2.com</v>
      </c>
      <c r="H87" s="2" t="str">
        <f>_xlfn.XLOOKUP(C87, customers!$A$2:$A$1001, customers!$G$2:$G$1001, , 0, 1)</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Large</v>
      </c>
      <c r="P87" t="str">
        <f>_xlfn.XLOOKUP(Orders[[#This Row],[Customer ID]],customers!$A$1:$A$1001,customers!$I$1:$I$1001,"",0)</f>
        <v>No</v>
      </c>
    </row>
    <row r="88" spans="1:16" x14ac:dyDescent="0.3">
      <c r="A88" s="2" t="s">
        <v>971</v>
      </c>
      <c r="B88" s="3">
        <v>43664</v>
      </c>
      <c r="C88" s="2" t="s">
        <v>972</v>
      </c>
      <c r="D88" t="s">
        <v>6154</v>
      </c>
      <c r="E88" s="2">
        <v>4</v>
      </c>
      <c r="F88" t="str">
        <f>_xlfn.XLOOKUP(C88, customers!$A$2:$A$1001, customers!$B$2:$B$1001, , 0, 1)</f>
        <v>Jeffrey Dufaire</v>
      </c>
      <c r="G88" s="2" t="str">
        <f>IF(_xlfn.XLOOKUP(C88,customers!$A$2:$A$1001,customers!$C$2:$C$1001,,0,1)=0,"",_xlfn.XLOOKUP(C88,customers!$A$2:$A$1001,customers!$C$2:$C$1001,,0,1))</f>
        <v>jdufaire2d@fc2.com</v>
      </c>
      <c r="H88" s="2" t="str">
        <f>_xlfn.XLOOKUP(C88, customers!$A$2:$A$1001, customers!$G$2:$G$1001, , 0, 1)</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t="str">
        <f>_xlfn.XLOOKUP(C89, customers!$A$2:$A$1001, customers!$B$2:$B$1001, , 0, 1)</f>
        <v>Beitris Keaveney</v>
      </c>
      <c r="G89" s="2" t="str">
        <f>IF(_xlfn.XLOOKUP(C89,customers!$A$2:$A$1001,customers!$C$2:$C$1001,,0,1)=0,"",_xlfn.XLOOKUP(C89,customers!$A$2:$A$1001,customers!$C$2:$C$1001,,0,1))</f>
        <v>bkeaveney2f@netlog.com</v>
      </c>
      <c r="H89" s="2" t="str">
        <f>_xlfn.XLOOKUP(C89, customers!$A$2:$A$1001, customers!$G$2:$G$1001, , 0, 1)</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t="str">
        <f>_xlfn.XLOOKUP(C90, customers!$A$2:$A$1001, customers!$B$2:$B$1001, , 0, 1)</f>
        <v>Elna Grise</v>
      </c>
      <c r="G90" s="2" t="str">
        <f>IF(_xlfn.XLOOKUP(C90,customers!$A$2:$A$1001,customers!$C$2:$C$1001,,0,1)=0,"",_xlfn.XLOOKUP(C90,customers!$A$2:$A$1001,customers!$C$2:$C$1001,,0,1))</f>
        <v>egrise2g@cargocollective.com</v>
      </c>
      <c r="H90" s="2" t="str">
        <f>_xlfn.XLOOKUP(C90, customers!$A$2:$A$1001, customers!$G$2:$G$1001, , 0, 1)</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Large</v>
      </c>
      <c r="P90" t="str">
        <f>_xlfn.XLOOKUP(Orders[[#This Row],[Customer ID]],customers!$A$1:$A$1001,customers!$I$1:$I$1001,"",0)</f>
        <v>No</v>
      </c>
    </row>
    <row r="91" spans="1:16" x14ac:dyDescent="0.3">
      <c r="A91" s="2" t="s">
        <v>990</v>
      </c>
      <c r="B91" s="3">
        <v>44545</v>
      </c>
      <c r="C91" s="2" t="s">
        <v>991</v>
      </c>
      <c r="D91" t="s">
        <v>6140</v>
      </c>
      <c r="E91" s="2">
        <v>6</v>
      </c>
      <c r="F91" t="str">
        <f>_xlfn.XLOOKUP(C91, customers!$A$2:$A$1001, customers!$B$2:$B$1001, , 0, 1)</f>
        <v>Torie Gottelier</v>
      </c>
      <c r="G91" s="2" t="str">
        <f>IF(_xlfn.XLOOKUP(C91,customers!$A$2:$A$1001,customers!$C$2:$C$1001,,0,1)=0,"",_xlfn.XLOOKUP(C91,customers!$A$2:$A$1001,customers!$C$2:$C$1001,,0,1))</f>
        <v>tgottelier2h@vistaprint.com</v>
      </c>
      <c r="H91" s="2" t="str">
        <f>_xlfn.XLOOKUP(C91, customers!$A$2:$A$1001, customers!$G$2:$G$1001, , 0, 1)</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Large</v>
      </c>
      <c r="P91" t="str">
        <f>_xlfn.XLOOKUP(Orders[[#This Row],[Customer ID]],customers!$A$1:$A$1001,customers!$I$1:$I$1001,"",0)</f>
        <v>No</v>
      </c>
    </row>
    <row r="92" spans="1:16" x14ac:dyDescent="0.3">
      <c r="A92" s="2" t="s">
        <v>996</v>
      </c>
      <c r="B92" s="3">
        <v>43971</v>
      </c>
      <c r="C92" s="2" t="s">
        <v>997</v>
      </c>
      <c r="D92" t="s">
        <v>6140</v>
      </c>
      <c r="E92" s="2">
        <v>4</v>
      </c>
      <c r="F92" t="str">
        <f>_xlfn.XLOOKUP(C92, customers!$A$2:$A$1001, customers!$B$2:$B$1001, , 0, 1)</f>
        <v>Loydie Langlais</v>
      </c>
      <c r="G92" s="2" t="str">
        <f>IF(_xlfn.XLOOKUP(C92,customers!$A$2:$A$1001,customers!$C$2:$C$1001,,0,1)=0,"",_xlfn.XLOOKUP(C92,customers!$A$2:$A$1001,customers!$C$2:$C$1001,,0,1))</f>
        <v/>
      </c>
      <c r="H92" s="2" t="str">
        <f>_xlfn.XLOOKUP(C92, customers!$A$2:$A$1001, customers!$G$2:$G$1001, , 0, 1)</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Large</v>
      </c>
      <c r="P92" t="str">
        <f>_xlfn.XLOOKUP(Orders[[#This Row],[Customer ID]],customers!$A$1:$A$1001,customers!$I$1:$I$1001,"",0)</f>
        <v>Yes</v>
      </c>
    </row>
    <row r="93" spans="1:16" x14ac:dyDescent="0.3">
      <c r="A93" s="2" t="s">
        <v>1001</v>
      </c>
      <c r="B93" s="3">
        <v>44137</v>
      </c>
      <c r="C93" s="2" t="s">
        <v>1002</v>
      </c>
      <c r="D93" t="s">
        <v>6175</v>
      </c>
      <c r="E93" s="2">
        <v>4</v>
      </c>
      <c r="F93" t="str">
        <f>_xlfn.XLOOKUP(C93, customers!$A$2:$A$1001, customers!$B$2:$B$1001, , 0, 1)</f>
        <v>Adham Greenhead</v>
      </c>
      <c r="G93" s="2" t="str">
        <f>IF(_xlfn.XLOOKUP(C93,customers!$A$2:$A$1001,customers!$C$2:$C$1001,,0,1)=0,"",_xlfn.XLOOKUP(C93,customers!$A$2:$A$1001,customers!$C$2:$C$1001,,0,1))</f>
        <v>agreenhead2j@dailymail.co.uk</v>
      </c>
      <c r="H93" s="2" t="str">
        <f>_xlfn.XLOOKUP(C93, customers!$A$2:$A$1001, customers!$G$2:$G$1001, , 0, 1)</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t="str">
        <f>_xlfn.XLOOKUP(C94, customers!$A$2:$A$1001, customers!$B$2:$B$1001, , 0, 1)</f>
        <v>Hamish MacSherry</v>
      </c>
      <c r="G94" s="2" t="str">
        <f>IF(_xlfn.XLOOKUP(C94,customers!$A$2:$A$1001,customers!$C$2:$C$1001,,0,1)=0,"",_xlfn.XLOOKUP(C94,customers!$A$2:$A$1001,customers!$C$2:$C$1001,,0,1))</f>
        <v/>
      </c>
      <c r="H94" s="2" t="str">
        <f>_xlfn.XLOOKUP(C94, customers!$A$2:$A$1001, customers!$G$2:$G$1001, , 0, 1)</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Large</v>
      </c>
      <c r="P94" t="str">
        <f>_xlfn.XLOOKUP(Orders[[#This Row],[Customer ID]],customers!$A$1:$A$1001,customers!$I$1:$I$1001,"",0)</f>
        <v>Yes</v>
      </c>
    </row>
    <row r="95" spans="1:16" x14ac:dyDescent="0.3">
      <c r="A95" s="2" t="s">
        <v>1012</v>
      </c>
      <c r="B95" s="3">
        <v>43538</v>
      </c>
      <c r="C95" s="2" t="s">
        <v>1013</v>
      </c>
      <c r="D95" t="s">
        <v>6176</v>
      </c>
      <c r="E95" s="2">
        <v>4</v>
      </c>
      <c r="F95" t="str">
        <f>_xlfn.XLOOKUP(C95, customers!$A$2:$A$1001, customers!$B$2:$B$1001, , 0, 1)</f>
        <v>Else Langcaster</v>
      </c>
      <c r="G95" s="2" t="str">
        <f>IF(_xlfn.XLOOKUP(C95,customers!$A$2:$A$1001,customers!$C$2:$C$1001,,0,1)=0,"",_xlfn.XLOOKUP(C95,customers!$A$2:$A$1001,customers!$C$2:$C$1001,,0,1))</f>
        <v>elangcaster2l@spotify.com</v>
      </c>
      <c r="H95" s="2" t="str">
        <f>_xlfn.XLOOKUP(C95, customers!$A$2:$A$1001, customers!$G$2:$G$1001, , 0, 1)</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Large</v>
      </c>
      <c r="P95" t="str">
        <f>_xlfn.XLOOKUP(Orders[[#This Row],[Customer ID]],customers!$A$1:$A$1001,customers!$I$1:$I$1001,"",0)</f>
        <v>Yes</v>
      </c>
    </row>
    <row r="96" spans="1:16" x14ac:dyDescent="0.3">
      <c r="A96" s="2" t="s">
        <v>1018</v>
      </c>
      <c r="B96" s="3">
        <v>44014</v>
      </c>
      <c r="C96" s="2" t="s">
        <v>1019</v>
      </c>
      <c r="D96" t="s">
        <v>6154</v>
      </c>
      <c r="E96" s="2">
        <v>6</v>
      </c>
      <c r="F96" t="str">
        <f>_xlfn.XLOOKUP(C96, customers!$A$2:$A$1001, customers!$B$2:$B$1001, , 0, 1)</f>
        <v>Rudy Farquharson</v>
      </c>
      <c r="G96" s="2" t="str">
        <f>IF(_xlfn.XLOOKUP(C96,customers!$A$2:$A$1001,customers!$C$2:$C$1001,,0,1)=0,"",_xlfn.XLOOKUP(C96,customers!$A$2:$A$1001,customers!$C$2:$C$1001,,0,1))</f>
        <v/>
      </c>
      <c r="H96" s="2" t="str">
        <f>_xlfn.XLOOKUP(C96, customers!$A$2:$A$1001, customers!$G$2:$G$1001, , 0, 1)</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t="str">
        <f>_xlfn.XLOOKUP(C97, customers!$A$2:$A$1001, customers!$B$2:$B$1001, , 0, 1)</f>
        <v>Norene Magauran</v>
      </c>
      <c r="G97" s="2" t="str">
        <f>IF(_xlfn.XLOOKUP(C97,customers!$A$2:$A$1001,customers!$C$2:$C$1001,,0,1)=0,"",_xlfn.XLOOKUP(C97,customers!$A$2:$A$1001,customers!$C$2:$C$1001,,0,1))</f>
        <v>nmagauran2n@51.la</v>
      </c>
      <c r="H97" s="2" t="str">
        <f>_xlfn.XLOOKUP(C97, customers!$A$2:$A$1001, customers!$G$2:$G$1001, , 0, 1)</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t="str">
        <f>_xlfn.XLOOKUP(C98, customers!$A$2:$A$1001, customers!$B$2:$B$1001, , 0, 1)</f>
        <v>Vicki Kirdsch</v>
      </c>
      <c r="G98" s="2" t="str">
        <f>IF(_xlfn.XLOOKUP(C98,customers!$A$2:$A$1001,customers!$C$2:$C$1001,,0,1)=0,"",_xlfn.XLOOKUP(C98,customers!$A$2:$A$1001,customers!$C$2:$C$1001,,0,1))</f>
        <v>vkirdsch2o@google.fr</v>
      </c>
      <c r="H98" s="2" t="str">
        <f>_xlfn.XLOOKUP(C98, customers!$A$2:$A$1001, customers!$G$2:$G$1001, , 0, 1)</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t="str">
        <f>_xlfn.XLOOKUP(C99, customers!$A$2:$A$1001, customers!$B$2:$B$1001, , 0, 1)</f>
        <v>Ilysa Whapple</v>
      </c>
      <c r="G99" s="2" t="str">
        <f>IF(_xlfn.XLOOKUP(C99,customers!$A$2:$A$1001,customers!$C$2:$C$1001,,0,1)=0,"",_xlfn.XLOOKUP(C99,customers!$A$2:$A$1001,customers!$C$2:$C$1001,,0,1))</f>
        <v>iwhapple2p@com.com</v>
      </c>
      <c r="H99" s="2" t="str">
        <f>_xlfn.XLOOKUP(C99, customers!$A$2:$A$1001, customers!$G$2:$G$1001, , 0, 1)</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t="str">
        <f>_xlfn.XLOOKUP(C100, customers!$A$2:$A$1001, customers!$B$2:$B$1001, , 0, 1)</f>
        <v>Ruy Cancellieri</v>
      </c>
      <c r="G100" s="2" t="str">
        <f>IF(_xlfn.XLOOKUP(C100,customers!$A$2:$A$1001,customers!$C$2:$C$1001,,0,1)=0,"",_xlfn.XLOOKUP(C100,customers!$A$2:$A$1001,customers!$C$2:$C$1001,,0,1))</f>
        <v/>
      </c>
      <c r="H100" s="2" t="str">
        <f>_xlfn.XLOOKUP(C100, customers!$A$2:$A$1001, customers!$G$2:$G$1001, , 0, 1)</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t="str">
        <f>_xlfn.XLOOKUP(C101, customers!$A$2:$A$1001, customers!$B$2:$B$1001, , 0, 1)</f>
        <v>Aube Follett</v>
      </c>
      <c r="G101" s="2" t="str">
        <f>IF(_xlfn.XLOOKUP(C101,customers!$A$2:$A$1001,customers!$C$2:$C$1001,,0,1)=0,"",_xlfn.XLOOKUP(C101,customers!$A$2:$A$1001,customers!$C$2:$C$1001,,0,1))</f>
        <v/>
      </c>
      <c r="H101" s="2" t="str">
        <f>_xlfn.XLOOKUP(C101, customers!$A$2:$A$1001, customers!$G$2:$G$1001, , 0, 1)</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t="str">
        <f>_xlfn.XLOOKUP(C102, customers!$A$2:$A$1001, customers!$B$2:$B$1001, , 0, 1)</f>
        <v>Rudiger Di Bartolomeo</v>
      </c>
      <c r="G102" s="2" t="str">
        <f>IF(_xlfn.XLOOKUP(C102,customers!$A$2:$A$1001,customers!$C$2:$C$1001,,0,1)=0,"",_xlfn.XLOOKUP(C102,customers!$A$2:$A$1001,customers!$C$2:$C$1001,,0,1))</f>
        <v/>
      </c>
      <c r="H102" s="2" t="str">
        <f>_xlfn.XLOOKUP(C102, customers!$A$2:$A$1001, customers!$G$2:$G$1001, , 0, 1)</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Large</v>
      </c>
      <c r="P102" t="str">
        <f>_xlfn.XLOOKUP(Orders[[#This Row],[Customer ID]],customers!$A$1:$A$1001,customers!$I$1:$I$1001,"",0)</f>
        <v>Yes</v>
      </c>
    </row>
    <row r="103" spans="1:16" x14ac:dyDescent="0.3">
      <c r="A103" s="2" t="s">
        <v>1053</v>
      </c>
      <c r="B103" s="3">
        <v>43891</v>
      </c>
      <c r="C103" s="2" t="s">
        <v>1054</v>
      </c>
      <c r="D103" t="s">
        <v>6165</v>
      </c>
      <c r="E103" s="2">
        <v>5</v>
      </c>
      <c r="F103" t="str">
        <f>_xlfn.XLOOKUP(C103, customers!$A$2:$A$1001, customers!$B$2:$B$1001, , 0, 1)</f>
        <v>Nickey Youles</v>
      </c>
      <c r="G103" s="2" t="str">
        <f>IF(_xlfn.XLOOKUP(C103,customers!$A$2:$A$1001,customers!$C$2:$C$1001,,0,1)=0,"",_xlfn.XLOOKUP(C103,customers!$A$2:$A$1001,customers!$C$2:$C$1001,,0,1))</f>
        <v>nyoules2t@reference.com</v>
      </c>
      <c r="H103" s="2" t="str">
        <f>_xlfn.XLOOKUP(C103, customers!$A$2:$A$1001, customers!$G$2:$G$1001, , 0, 1)</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t="str">
        <f>_xlfn.XLOOKUP(C104, customers!$A$2:$A$1001, customers!$B$2:$B$1001, , 0, 1)</f>
        <v>Dyanna Aizikovitz</v>
      </c>
      <c r="G104" s="2" t="str">
        <f>IF(_xlfn.XLOOKUP(C104,customers!$A$2:$A$1001,customers!$C$2:$C$1001,,0,1)=0,"",_xlfn.XLOOKUP(C104,customers!$A$2:$A$1001,customers!$C$2:$C$1001,,0,1))</f>
        <v>daizikovitz2u@answers.com</v>
      </c>
      <c r="H104" s="2" t="str">
        <f>_xlfn.XLOOKUP(C104, customers!$A$2:$A$1001, customers!$G$2:$G$1001, , 0, 1)</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t="str">
        <f>_xlfn.XLOOKUP(C105, customers!$A$2:$A$1001, customers!$B$2:$B$1001, , 0, 1)</f>
        <v>Bram Revel</v>
      </c>
      <c r="G105" s="2" t="str">
        <f>IF(_xlfn.XLOOKUP(C105,customers!$A$2:$A$1001,customers!$C$2:$C$1001,,0,1)=0,"",_xlfn.XLOOKUP(C105,customers!$A$2:$A$1001,customers!$C$2:$C$1001,,0,1))</f>
        <v>brevel2v@fastcompany.com</v>
      </c>
      <c r="H105" s="2" t="str">
        <f>_xlfn.XLOOKUP(C105, customers!$A$2:$A$1001, customers!$G$2:$G$1001, , 0, 1)</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t="str">
        <f>_xlfn.XLOOKUP(C106, customers!$A$2:$A$1001, customers!$B$2:$B$1001, , 0, 1)</f>
        <v>Emiline Priddis</v>
      </c>
      <c r="G106" s="2" t="str">
        <f>IF(_xlfn.XLOOKUP(C106,customers!$A$2:$A$1001,customers!$C$2:$C$1001,,0,1)=0,"",_xlfn.XLOOKUP(C106,customers!$A$2:$A$1001,customers!$C$2:$C$1001,,0,1))</f>
        <v>epriddis2w@nationalgeographic.com</v>
      </c>
      <c r="H106" s="2" t="str">
        <f>_xlfn.XLOOKUP(C106, customers!$A$2:$A$1001, customers!$G$2:$G$1001, , 0, 1)</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t="str">
        <f>_xlfn.XLOOKUP(C107, customers!$A$2:$A$1001, customers!$B$2:$B$1001, , 0, 1)</f>
        <v>Queenie Veel</v>
      </c>
      <c r="G107" s="2" t="str">
        <f>IF(_xlfn.XLOOKUP(C107,customers!$A$2:$A$1001,customers!$C$2:$C$1001,,0,1)=0,"",_xlfn.XLOOKUP(C107,customers!$A$2:$A$1001,customers!$C$2:$C$1001,,0,1))</f>
        <v>qveel2x@jugem.jp</v>
      </c>
      <c r="H107" s="2" t="str">
        <f>_xlfn.XLOOKUP(C107, customers!$A$2:$A$1001, customers!$G$2:$G$1001, , 0, 1)</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t="str">
        <f>_xlfn.XLOOKUP(C108, customers!$A$2:$A$1001, customers!$B$2:$B$1001, , 0, 1)</f>
        <v>Lind Conyers</v>
      </c>
      <c r="G108" s="2" t="str">
        <f>IF(_xlfn.XLOOKUP(C108,customers!$A$2:$A$1001,customers!$C$2:$C$1001,,0,1)=0,"",_xlfn.XLOOKUP(C108,customers!$A$2:$A$1001,customers!$C$2:$C$1001,,0,1))</f>
        <v>lconyers2y@twitter.com</v>
      </c>
      <c r="H108" s="2" t="str">
        <f>_xlfn.XLOOKUP(C108, customers!$A$2:$A$1001, customers!$G$2:$G$1001, , 0, 1)</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t="str">
        <f>_xlfn.XLOOKUP(C109, customers!$A$2:$A$1001, customers!$B$2:$B$1001, , 0, 1)</f>
        <v>Pen Wye</v>
      </c>
      <c r="G109" s="2" t="str">
        <f>IF(_xlfn.XLOOKUP(C109,customers!$A$2:$A$1001,customers!$C$2:$C$1001,,0,1)=0,"",_xlfn.XLOOKUP(C109,customers!$A$2:$A$1001,customers!$C$2:$C$1001,,0,1))</f>
        <v>pwye2z@dagondesign.com</v>
      </c>
      <c r="H109" s="2" t="str">
        <f>_xlfn.XLOOKUP(C109, customers!$A$2:$A$1001, customers!$G$2:$G$1001, , 0, 1)</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t="str">
        <f>_xlfn.XLOOKUP(C110, customers!$A$2:$A$1001, customers!$B$2:$B$1001, , 0, 1)</f>
        <v>Isahella Hagland</v>
      </c>
      <c r="G110" s="2" t="str">
        <f>IF(_xlfn.XLOOKUP(C110,customers!$A$2:$A$1001,customers!$C$2:$C$1001,,0,1)=0,"",_xlfn.XLOOKUP(C110,customers!$A$2:$A$1001,customers!$C$2:$C$1001,,0,1))</f>
        <v/>
      </c>
      <c r="H110" s="2" t="str">
        <f>_xlfn.XLOOKUP(C110, customers!$A$2:$A$1001, customers!$G$2:$G$1001, , 0, 1)</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t="str">
        <f>_xlfn.XLOOKUP(C111, customers!$A$2:$A$1001, customers!$B$2:$B$1001, , 0, 1)</f>
        <v>Terry Sheryn</v>
      </c>
      <c r="G111" s="2" t="str">
        <f>IF(_xlfn.XLOOKUP(C111,customers!$A$2:$A$1001,customers!$C$2:$C$1001,,0,1)=0,"",_xlfn.XLOOKUP(C111,customers!$A$2:$A$1001,customers!$C$2:$C$1001,,0,1))</f>
        <v>tsheryn31@mtv.com</v>
      </c>
      <c r="H111" s="2" t="str">
        <f>_xlfn.XLOOKUP(C111, customers!$A$2:$A$1001, customers!$G$2:$G$1001, , 0, 1)</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t="str">
        <f>_xlfn.XLOOKUP(C112, customers!$A$2:$A$1001, customers!$B$2:$B$1001, , 0, 1)</f>
        <v>Marie-jeanne Redgrave</v>
      </c>
      <c r="G112" s="2" t="str">
        <f>IF(_xlfn.XLOOKUP(C112,customers!$A$2:$A$1001,customers!$C$2:$C$1001,,0,1)=0,"",_xlfn.XLOOKUP(C112,customers!$A$2:$A$1001,customers!$C$2:$C$1001,,0,1))</f>
        <v>mredgrave32@cargocollective.com</v>
      </c>
      <c r="H112" s="2" t="str">
        <f>_xlfn.XLOOKUP(C112, customers!$A$2:$A$1001, customers!$G$2:$G$1001, , 0, 1)</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Large</v>
      </c>
      <c r="P112" t="str">
        <f>_xlfn.XLOOKUP(Orders[[#This Row],[Customer ID]],customers!$A$1:$A$1001,customers!$I$1:$I$1001,"",0)</f>
        <v>Yes</v>
      </c>
    </row>
    <row r="113" spans="1:16" x14ac:dyDescent="0.3">
      <c r="A113" s="2" t="s">
        <v>1112</v>
      </c>
      <c r="B113" s="3">
        <v>43642</v>
      </c>
      <c r="C113" s="2" t="s">
        <v>1113</v>
      </c>
      <c r="D113" t="s">
        <v>6172</v>
      </c>
      <c r="E113" s="2">
        <v>5</v>
      </c>
      <c r="F113" t="str">
        <f>_xlfn.XLOOKUP(C113, customers!$A$2:$A$1001, customers!$B$2:$B$1001, , 0, 1)</f>
        <v>Betty Fominov</v>
      </c>
      <c r="G113" s="2" t="str">
        <f>IF(_xlfn.XLOOKUP(C113,customers!$A$2:$A$1001,customers!$C$2:$C$1001,,0,1)=0,"",_xlfn.XLOOKUP(C113,customers!$A$2:$A$1001,customers!$C$2:$C$1001,,0,1))</f>
        <v>bfominov33@yale.edu</v>
      </c>
      <c r="H113" s="2" t="str">
        <f>_xlfn.XLOOKUP(C113, customers!$A$2:$A$1001, customers!$G$2:$G$1001, , 0, 1)</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t="str">
        <f>_xlfn.XLOOKUP(C114, customers!$A$2:$A$1001, customers!$B$2:$B$1001, , 0, 1)</f>
        <v>Shawnee Critchlow</v>
      </c>
      <c r="G114" s="2" t="str">
        <f>IF(_xlfn.XLOOKUP(C114,customers!$A$2:$A$1001,customers!$C$2:$C$1001,,0,1)=0,"",_xlfn.XLOOKUP(C114,customers!$A$2:$A$1001,customers!$C$2:$C$1001,,0,1))</f>
        <v>scritchlow34@un.org</v>
      </c>
      <c r="H114" s="2" t="str">
        <f>_xlfn.XLOOKUP(C114, customers!$A$2:$A$1001, customers!$G$2:$G$1001, , 0, 1)</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t="str">
        <f>_xlfn.XLOOKUP(C115, customers!$A$2:$A$1001, customers!$B$2:$B$1001, , 0, 1)</f>
        <v>Merrel Steptow</v>
      </c>
      <c r="G115" s="2" t="str">
        <f>IF(_xlfn.XLOOKUP(C115,customers!$A$2:$A$1001,customers!$C$2:$C$1001,,0,1)=0,"",_xlfn.XLOOKUP(C115,customers!$A$2:$A$1001,customers!$C$2:$C$1001,,0,1))</f>
        <v>msteptow35@earthlink.net</v>
      </c>
      <c r="H115" s="2" t="str">
        <f>_xlfn.XLOOKUP(C115, customers!$A$2:$A$1001, customers!$G$2:$G$1001, , 0, 1)</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t="str">
        <f>_xlfn.XLOOKUP(C116, customers!$A$2:$A$1001, customers!$B$2:$B$1001, , 0, 1)</f>
        <v>Carmina Hubbuck</v>
      </c>
      <c r="G116" s="2" t="str">
        <f>IF(_xlfn.XLOOKUP(C116,customers!$A$2:$A$1001,customers!$C$2:$C$1001,,0,1)=0,"",_xlfn.XLOOKUP(C116,customers!$A$2:$A$1001,customers!$C$2:$C$1001,,0,1))</f>
        <v/>
      </c>
      <c r="H116" s="2" t="str">
        <f>_xlfn.XLOOKUP(C116, customers!$A$2:$A$1001, customers!$G$2:$G$1001, , 0, 1)</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Large</v>
      </c>
      <c r="P116" t="str">
        <f>_xlfn.XLOOKUP(Orders[[#This Row],[Customer ID]],customers!$A$1:$A$1001,customers!$I$1:$I$1001,"",0)</f>
        <v>No</v>
      </c>
    </row>
    <row r="117" spans="1:16" x14ac:dyDescent="0.3">
      <c r="A117" s="2" t="s">
        <v>1134</v>
      </c>
      <c r="B117" s="3">
        <v>43693</v>
      </c>
      <c r="C117" s="2" t="s">
        <v>1135</v>
      </c>
      <c r="D117" t="s">
        <v>6170</v>
      </c>
      <c r="E117" s="2">
        <v>1</v>
      </c>
      <c r="F117" t="str">
        <f>_xlfn.XLOOKUP(C117, customers!$A$2:$A$1001, customers!$B$2:$B$1001, , 0, 1)</f>
        <v>Ingeberg Mulliner</v>
      </c>
      <c r="G117" s="2" t="str">
        <f>IF(_xlfn.XLOOKUP(C117,customers!$A$2:$A$1001,customers!$C$2:$C$1001,,0,1)=0,"",_xlfn.XLOOKUP(C117,customers!$A$2:$A$1001,customers!$C$2:$C$1001,,0,1))</f>
        <v>imulliner37@pinterest.com</v>
      </c>
      <c r="H117" s="2" t="str">
        <f>_xlfn.XLOOKUP(C117, customers!$A$2:$A$1001, customers!$G$2:$G$1001, , 0, 1)</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Large</v>
      </c>
      <c r="P117" t="str">
        <f>_xlfn.XLOOKUP(Orders[[#This Row],[Customer ID]],customers!$A$1:$A$1001,customers!$I$1:$I$1001,"",0)</f>
        <v>No</v>
      </c>
    </row>
    <row r="118" spans="1:16" x14ac:dyDescent="0.3">
      <c r="A118" s="2" t="s">
        <v>1140</v>
      </c>
      <c r="B118" s="3">
        <v>44054</v>
      </c>
      <c r="C118" s="2" t="s">
        <v>1141</v>
      </c>
      <c r="D118" t="s">
        <v>6145</v>
      </c>
      <c r="E118" s="2">
        <v>4</v>
      </c>
      <c r="F118" t="str">
        <f>_xlfn.XLOOKUP(C118, customers!$A$2:$A$1001, customers!$B$2:$B$1001, , 0, 1)</f>
        <v>Geneva Standley</v>
      </c>
      <c r="G118" s="2" t="str">
        <f>IF(_xlfn.XLOOKUP(C118,customers!$A$2:$A$1001,customers!$C$2:$C$1001,,0,1)=0,"",_xlfn.XLOOKUP(C118,customers!$A$2:$A$1001,customers!$C$2:$C$1001,,0,1))</f>
        <v>gstandley38@dion.ne.jp</v>
      </c>
      <c r="H118" s="2" t="str">
        <f>_xlfn.XLOOKUP(C118, customers!$A$2:$A$1001, customers!$G$2:$G$1001, , 0, 1)</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Large</v>
      </c>
      <c r="P118" t="str">
        <f>_xlfn.XLOOKUP(Orders[[#This Row],[Customer ID]],customers!$A$1:$A$1001,customers!$I$1:$I$1001,"",0)</f>
        <v>Yes</v>
      </c>
    </row>
    <row r="119" spans="1:16" x14ac:dyDescent="0.3">
      <c r="A119" s="2" t="s">
        <v>1146</v>
      </c>
      <c r="B119" s="3">
        <v>44656</v>
      </c>
      <c r="C119" s="2" t="s">
        <v>1147</v>
      </c>
      <c r="D119" t="s">
        <v>6161</v>
      </c>
      <c r="E119" s="2">
        <v>4</v>
      </c>
      <c r="F119" t="str">
        <f>_xlfn.XLOOKUP(C119, customers!$A$2:$A$1001, customers!$B$2:$B$1001, , 0, 1)</f>
        <v>Brook Drage</v>
      </c>
      <c r="G119" s="2" t="str">
        <f>IF(_xlfn.XLOOKUP(C119,customers!$A$2:$A$1001,customers!$C$2:$C$1001,,0,1)=0,"",_xlfn.XLOOKUP(C119,customers!$A$2:$A$1001,customers!$C$2:$C$1001,,0,1))</f>
        <v>bdrage39@youku.com</v>
      </c>
      <c r="H119" s="2" t="str">
        <f>_xlfn.XLOOKUP(C119, customers!$A$2:$A$1001, customers!$G$2:$G$1001, , 0, 1)</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Large</v>
      </c>
      <c r="P119" t="str">
        <f>_xlfn.XLOOKUP(Orders[[#This Row],[Customer ID]],customers!$A$1:$A$1001,customers!$I$1:$I$1001,"",0)</f>
        <v>No</v>
      </c>
    </row>
    <row r="120" spans="1:16" x14ac:dyDescent="0.3">
      <c r="A120" s="2" t="s">
        <v>1152</v>
      </c>
      <c r="B120" s="3">
        <v>43760</v>
      </c>
      <c r="C120" s="2" t="s">
        <v>1153</v>
      </c>
      <c r="D120" t="s">
        <v>6144</v>
      </c>
      <c r="E120" s="2">
        <v>3</v>
      </c>
      <c r="F120" t="str">
        <f>_xlfn.XLOOKUP(C120, customers!$A$2:$A$1001, customers!$B$2:$B$1001, , 0, 1)</f>
        <v>Muffin Yallop</v>
      </c>
      <c r="G120" s="2" t="str">
        <f>IF(_xlfn.XLOOKUP(C120,customers!$A$2:$A$1001,customers!$C$2:$C$1001,,0,1)=0,"",_xlfn.XLOOKUP(C120,customers!$A$2:$A$1001,customers!$C$2:$C$1001,,0,1))</f>
        <v>myallop3a@fema.gov</v>
      </c>
      <c r="H120" s="2" t="str">
        <f>_xlfn.XLOOKUP(C120, customers!$A$2:$A$1001, customers!$G$2:$G$1001, , 0, 1)</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t="str">
        <f>_xlfn.XLOOKUP(C121, customers!$A$2:$A$1001, customers!$B$2:$B$1001, , 0, 1)</f>
        <v>Cordi Switsur</v>
      </c>
      <c r="G121" s="2" t="str">
        <f>IF(_xlfn.XLOOKUP(C121,customers!$A$2:$A$1001,customers!$C$2:$C$1001,,0,1)=0,"",_xlfn.XLOOKUP(C121,customers!$A$2:$A$1001,customers!$C$2:$C$1001,,0,1))</f>
        <v>cswitsur3b@chronoengine.com</v>
      </c>
      <c r="H121" s="2" t="str">
        <f>_xlfn.XLOOKUP(C121, customers!$A$2:$A$1001, customers!$G$2:$G$1001, , 0, 1)</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t="str">
        <f>_xlfn.XLOOKUP(C122, customers!$A$2:$A$1001, customers!$B$2:$B$1001, , 0, 1)</f>
        <v>Cordi Switsur</v>
      </c>
      <c r="G122" s="2" t="str">
        <f>IF(_xlfn.XLOOKUP(C122,customers!$A$2:$A$1001,customers!$C$2:$C$1001,,0,1)=0,"",_xlfn.XLOOKUP(C122,customers!$A$2:$A$1001,customers!$C$2:$C$1001,,0,1))</f>
        <v>cswitsur3b@chronoengine.com</v>
      </c>
      <c r="H122" s="2" t="str">
        <f>_xlfn.XLOOKUP(C122, customers!$A$2:$A$1001, customers!$G$2:$G$1001, , 0, 1)</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Large</v>
      </c>
      <c r="P122" t="str">
        <f>_xlfn.XLOOKUP(Orders[[#This Row],[Customer ID]],customers!$A$1:$A$1001,customers!$I$1:$I$1001,"",0)</f>
        <v>No</v>
      </c>
    </row>
    <row r="123" spans="1:16" x14ac:dyDescent="0.3">
      <c r="A123" s="2" t="s">
        <v>1158</v>
      </c>
      <c r="B123" s="3">
        <v>44471</v>
      </c>
      <c r="C123" s="2" t="s">
        <v>1159</v>
      </c>
      <c r="D123" t="s">
        <v>6141</v>
      </c>
      <c r="E123" s="2">
        <v>5</v>
      </c>
      <c r="F123" t="str">
        <f>_xlfn.XLOOKUP(C123, customers!$A$2:$A$1001, customers!$B$2:$B$1001, , 0, 1)</f>
        <v>Cordi Switsur</v>
      </c>
      <c r="G123" s="2" t="str">
        <f>IF(_xlfn.XLOOKUP(C123,customers!$A$2:$A$1001,customers!$C$2:$C$1001,,0,1)=0,"",_xlfn.XLOOKUP(C123,customers!$A$2:$A$1001,customers!$C$2:$C$1001,,0,1))</f>
        <v>cswitsur3b@chronoengine.com</v>
      </c>
      <c r="H123" s="2" t="str">
        <f>_xlfn.XLOOKUP(C123, customers!$A$2:$A$1001, customers!$G$2:$G$1001, , 0, 1)</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t="str">
        <f>_xlfn.XLOOKUP(C124, customers!$A$2:$A$1001, customers!$B$2:$B$1001, , 0, 1)</f>
        <v>Mahala Ludwell</v>
      </c>
      <c r="G124" s="2" t="str">
        <f>IF(_xlfn.XLOOKUP(C124,customers!$A$2:$A$1001,customers!$C$2:$C$1001,,0,1)=0,"",_xlfn.XLOOKUP(C124,customers!$A$2:$A$1001,customers!$C$2:$C$1001,,0,1))</f>
        <v>mludwell3e@blogger.com</v>
      </c>
      <c r="H124" s="2" t="str">
        <f>_xlfn.XLOOKUP(C124, customers!$A$2:$A$1001, customers!$G$2:$G$1001, , 0, 1)</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t="str">
        <f>_xlfn.XLOOKUP(C125, customers!$A$2:$A$1001, customers!$B$2:$B$1001, , 0, 1)</f>
        <v>Doll Beauchamp</v>
      </c>
      <c r="G125" s="2" t="str">
        <f>IF(_xlfn.XLOOKUP(C125,customers!$A$2:$A$1001,customers!$C$2:$C$1001,,0,1)=0,"",_xlfn.XLOOKUP(C125,customers!$A$2:$A$1001,customers!$C$2:$C$1001,,0,1))</f>
        <v>dbeauchamp3f@usda.gov</v>
      </c>
      <c r="H125" s="2" t="str">
        <f>_xlfn.XLOOKUP(C125, customers!$A$2:$A$1001, customers!$G$2:$G$1001, , 0, 1)</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Large</v>
      </c>
      <c r="P125" t="str">
        <f>_xlfn.XLOOKUP(Orders[[#This Row],[Customer ID]],customers!$A$1:$A$1001,customers!$I$1:$I$1001,"",0)</f>
        <v>No</v>
      </c>
    </row>
    <row r="126" spans="1:16" x14ac:dyDescent="0.3">
      <c r="A126" s="2" t="s">
        <v>1186</v>
      </c>
      <c r="B126" s="3">
        <v>43582</v>
      </c>
      <c r="C126" s="2" t="s">
        <v>1187</v>
      </c>
      <c r="D126" t="s">
        <v>6159</v>
      </c>
      <c r="E126" s="2">
        <v>5</v>
      </c>
      <c r="F126" t="str">
        <f>_xlfn.XLOOKUP(C126, customers!$A$2:$A$1001, customers!$B$2:$B$1001, , 0, 1)</f>
        <v>Stanford Rodliff</v>
      </c>
      <c r="G126" s="2" t="str">
        <f>IF(_xlfn.XLOOKUP(C126,customers!$A$2:$A$1001,customers!$C$2:$C$1001,,0,1)=0,"",_xlfn.XLOOKUP(C126,customers!$A$2:$A$1001,customers!$C$2:$C$1001,,0,1))</f>
        <v>srodliff3g@ted.com</v>
      </c>
      <c r="H126" s="2" t="str">
        <f>_xlfn.XLOOKUP(C126, customers!$A$2:$A$1001, customers!$G$2:$G$1001, , 0, 1)</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t="str">
        <f>_xlfn.XLOOKUP(C127, customers!$A$2:$A$1001, customers!$B$2:$B$1001, , 0, 1)</f>
        <v>Stevana Woodham</v>
      </c>
      <c r="G127" s="2" t="str">
        <f>IF(_xlfn.XLOOKUP(C127,customers!$A$2:$A$1001,customers!$C$2:$C$1001,,0,1)=0,"",_xlfn.XLOOKUP(C127,customers!$A$2:$A$1001,customers!$C$2:$C$1001,,0,1))</f>
        <v>swoodham3h@businesswire.com</v>
      </c>
      <c r="H127" s="2" t="str">
        <f>_xlfn.XLOOKUP(C127, customers!$A$2:$A$1001, customers!$G$2:$G$1001, , 0, 1)</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t="str">
        <f>_xlfn.XLOOKUP(C128, customers!$A$2:$A$1001, customers!$B$2:$B$1001, , 0, 1)</f>
        <v>Hewet Synnot</v>
      </c>
      <c r="G128" s="2" t="str">
        <f>IF(_xlfn.XLOOKUP(C128,customers!$A$2:$A$1001,customers!$C$2:$C$1001,,0,1)=0,"",_xlfn.XLOOKUP(C128,customers!$A$2:$A$1001,customers!$C$2:$C$1001,,0,1))</f>
        <v>hsynnot3i@about.com</v>
      </c>
      <c r="H128" s="2" t="str">
        <f>_xlfn.XLOOKUP(C128, customers!$A$2:$A$1001, customers!$G$2:$G$1001, , 0, 1)</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t="str">
        <f>_xlfn.XLOOKUP(C129, customers!$A$2:$A$1001, customers!$B$2:$B$1001, , 0, 1)</f>
        <v>Raleigh Lepere</v>
      </c>
      <c r="G129" s="2" t="str">
        <f>IF(_xlfn.XLOOKUP(C129,customers!$A$2:$A$1001,customers!$C$2:$C$1001,,0,1)=0,"",_xlfn.XLOOKUP(C129,customers!$A$2:$A$1001,customers!$C$2:$C$1001,,0,1))</f>
        <v>rlepere3j@shop-pro.jp</v>
      </c>
      <c r="H129" s="2" t="str">
        <f>_xlfn.XLOOKUP(C129, customers!$A$2:$A$1001, customers!$G$2:$G$1001, , 0, 1)</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t="str">
        <f>_xlfn.XLOOKUP(C130, customers!$A$2:$A$1001, customers!$B$2:$B$1001, , 0, 1)</f>
        <v>Timofei Woofinden</v>
      </c>
      <c r="G130" s="2" t="str">
        <f>IF(_xlfn.XLOOKUP(C130,customers!$A$2:$A$1001,customers!$C$2:$C$1001,,0,1)=0,"",_xlfn.XLOOKUP(C130,customers!$A$2:$A$1001,customers!$C$2:$C$1001,,0,1))</f>
        <v>twoofinden3k@businesswire.com</v>
      </c>
      <c r="H130" s="2" t="str">
        <f>_xlfn.XLOOKUP(C130, customers!$A$2:$A$1001, customers!$G$2:$G$1001, , 0, 1)</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t="str">
        <f>_xlfn.XLOOKUP(C131, customers!$A$2:$A$1001, customers!$B$2:$B$1001, , 0, 1)</f>
        <v>Evelina Dacca</v>
      </c>
      <c r="G131" s="2" t="str">
        <f>IF(_xlfn.XLOOKUP(C131,customers!$A$2:$A$1001,customers!$C$2:$C$1001,,0,1)=0,"",_xlfn.XLOOKUP(C131,customers!$A$2:$A$1001,customers!$C$2:$C$1001,,0,1))</f>
        <v>edacca3l@google.pl</v>
      </c>
      <c r="H131" s="2" t="str">
        <f>_xlfn.XLOOKUP(C131, customers!$A$2:$A$1001, customers!$G$2:$G$1001, , 0, 1)</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IF(J131="M","Medium",IF(J131="L","Large",IF(J131="D","Dark","")))</f>
        <v>Dark</v>
      </c>
      <c r="P131" t="str">
        <f>_xlfn.XLOOKUP(Orders[[#This Row],[Customer ID]],customers!$A$1:$A$1001,customers!$I$1:$I$1001,"",0)</f>
        <v>Yes</v>
      </c>
    </row>
    <row r="132" spans="1:16" x14ac:dyDescent="0.3">
      <c r="A132" s="2" t="s">
        <v>1222</v>
      </c>
      <c r="B132" s="3">
        <v>44624</v>
      </c>
      <c r="C132" s="2" t="s">
        <v>1223</v>
      </c>
      <c r="D132" t="s">
        <v>6182</v>
      </c>
      <c r="E132" s="2">
        <v>5</v>
      </c>
      <c r="F132" t="str">
        <f>_xlfn.XLOOKUP(C132, customers!$A$2:$A$1001, customers!$B$2:$B$1001, , 0, 1)</f>
        <v>Bidget Tremellier</v>
      </c>
      <c r="G132" s="2" t="str">
        <f>IF(_xlfn.XLOOKUP(C132,customers!$A$2:$A$1001,customers!$C$2:$C$1001,,0,1)=0,"",_xlfn.XLOOKUP(C132,customers!$A$2:$A$1001,customers!$C$2:$C$1001,,0,1))</f>
        <v/>
      </c>
      <c r="H132" s="2" t="str">
        <f>_xlfn.XLOOKUP(C132, customers!$A$2:$A$1001, customers!$G$2:$G$1001, , 0, 1)</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Large</v>
      </c>
      <c r="P132" t="str">
        <f>_xlfn.XLOOKUP(Orders[[#This Row],[Customer ID]],customers!$A$1:$A$1001,customers!$I$1:$I$1001,"",0)</f>
        <v>Yes</v>
      </c>
    </row>
    <row r="133" spans="1:16" x14ac:dyDescent="0.3">
      <c r="A133" s="2" t="s">
        <v>1227</v>
      </c>
      <c r="B133" s="3">
        <v>44196</v>
      </c>
      <c r="C133" s="2" t="s">
        <v>1228</v>
      </c>
      <c r="D133" t="s">
        <v>6144</v>
      </c>
      <c r="E133" s="2">
        <v>2</v>
      </c>
      <c r="F133" t="str">
        <f>_xlfn.XLOOKUP(C133, customers!$A$2:$A$1001, customers!$B$2:$B$1001, , 0, 1)</f>
        <v>Bobinette Hindsberg</v>
      </c>
      <c r="G133" s="2" t="str">
        <f>IF(_xlfn.XLOOKUP(C133,customers!$A$2:$A$1001,customers!$C$2:$C$1001,,0,1)=0,"",_xlfn.XLOOKUP(C133,customers!$A$2:$A$1001,customers!$C$2:$C$1001,,0,1))</f>
        <v>bhindsberg3n@blogs.com</v>
      </c>
      <c r="H133" s="2" t="str">
        <f>_xlfn.XLOOKUP(C133, customers!$A$2:$A$1001, customers!$G$2:$G$1001, , 0, 1)</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t="str">
        <f>_xlfn.XLOOKUP(C134, customers!$A$2:$A$1001, customers!$B$2:$B$1001, , 0, 1)</f>
        <v>Osbert Robins</v>
      </c>
      <c r="G134" s="2" t="str">
        <f>IF(_xlfn.XLOOKUP(C134,customers!$A$2:$A$1001,customers!$C$2:$C$1001,,0,1)=0,"",_xlfn.XLOOKUP(C134,customers!$A$2:$A$1001,customers!$C$2:$C$1001,,0,1))</f>
        <v>orobins3o@salon.com</v>
      </c>
      <c r="H134" s="2" t="str">
        <f>_xlfn.XLOOKUP(C134, customers!$A$2:$A$1001, customers!$G$2:$G$1001, , 0, 1)</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Large</v>
      </c>
      <c r="P134" t="str">
        <f>_xlfn.XLOOKUP(Orders[[#This Row],[Customer ID]],customers!$A$1:$A$1001,customers!$I$1:$I$1001,"",0)</f>
        <v>Yes</v>
      </c>
    </row>
    <row r="135" spans="1:16" x14ac:dyDescent="0.3">
      <c r="A135" s="2" t="s">
        <v>1239</v>
      </c>
      <c r="B135" s="3">
        <v>44340</v>
      </c>
      <c r="C135" s="2" t="s">
        <v>1240</v>
      </c>
      <c r="D135" t="s">
        <v>6143</v>
      </c>
      <c r="E135" s="2">
        <v>1</v>
      </c>
      <c r="F135" t="str">
        <f>_xlfn.XLOOKUP(C135, customers!$A$2:$A$1001, customers!$B$2:$B$1001, , 0, 1)</f>
        <v>Othello Syseland</v>
      </c>
      <c r="G135" s="2" t="str">
        <f>IF(_xlfn.XLOOKUP(C135,customers!$A$2:$A$1001,customers!$C$2:$C$1001,,0,1)=0,"",_xlfn.XLOOKUP(C135,customers!$A$2:$A$1001,customers!$C$2:$C$1001,,0,1))</f>
        <v>osyseland3p@independent.co.uk</v>
      </c>
      <c r="H135" s="2" t="str">
        <f>_xlfn.XLOOKUP(C135, customers!$A$2:$A$1001, customers!$G$2:$G$1001, , 0, 1)</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t="str">
        <f>_xlfn.XLOOKUP(C136, customers!$A$2:$A$1001, customers!$B$2:$B$1001, , 0, 1)</f>
        <v>Ewell Hanby</v>
      </c>
      <c r="G136" s="2" t="str">
        <f>IF(_xlfn.XLOOKUP(C136,customers!$A$2:$A$1001,customers!$C$2:$C$1001,,0,1)=0,"",_xlfn.XLOOKUP(C136,customers!$A$2:$A$1001,customers!$C$2:$C$1001,,0,1))</f>
        <v/>
      </c>
      <c r="H136" s="2" t="str">
        <f>_xlfn.XLOOKUP(C136, customers!$A$2:$A$1001, customers!$G$2:$G$1001, , 0, 1)</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t="str">
        <f>_xlfn.XLOOKUP(C137, customers!$A$2:$A$1001, customers!$B$2:$B$1001, , 0, 1)</f>
        <v>Blancha McAmish</v>
      </c>
      <c r="G137" s="2" t="str">
        <f>IF(_xlfn.XLOOKUP(C137,customers!$A$2:$A$1001,customers!$C$2:$C$1001,,0,1)=0,"",_xlfn.XLOOKUP(C137,customers!$A$2:$A$1001,customers!$C$2:$C$1001,,0,1))</f>
        <v>bmcamish2e@tripadvisor.com</v>
      </c>
      <c r="H137" s="2" t="str">
        <f>_xlfn.XLOOKUP(C137, customers!$A$2:$A$1001, customers!$G$2:$G$1001, , 0, 1)</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Large</v>
      </c>
      <c r="P137" t="str">
        <f>_xlfn.XLOOKUP(Orders[[#This Row],[Customer ID]],customers!$A$1:$A$1001,customers!$I$1:$I$1001,"",0)</f>
        <v>Yes</v>
      </c>
    </row>
    <row r="138" spans="1:16" x14ac:dyDescent="0.3">
      <c r="A138" s="2" t="s">
        <v>1255</v>
      </c>
      <c r="B138" s="3">
        <v>44406</v>
      </c>
      <c r="C138" s="2" t="s">
        <v>1256</v>
      </c>
      <c r="D138" t="s">
        <v>6154</v>
      </c>
      <c r="E138" s="2">
        <v>4</v>
      </c>
      <c r="F138" t="str">
        <f>_xlfn.XLOOKUP(C138, customers!$A$2:$A$1001, customers!$B$2:$B$1001, , 0, 1)</f>
        <v>Lowell Keenleyside</v>
      </c>
      <c r="G138" s="2" t="str">
        <f>IF(_xlfn.XLOOKUP(C138,customers!$A$2:$A$1001,customers!$C$2:$C$1001,,0,1)=0,"",_xlfn.XLOOKUP(C138,customers!$A$2:$A$1001,customers!$C$2:$C$1001,,0,1))</f>
        <v>lkeenleyside3s@topsy.com</v>
      </c>
      <c r="H138" s="2" t="str">
        <f>_xlfn.XLOOKUP(C138, customers!$A$2:$A$1001, customers!$G$2:$G$1001, , 0, 1)</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t="str">
        <f>_xlfn.XLOOKUP(C139, customers!$A$2:$A$1001, customers!$B$2:$B$1001, , 0, 1)</f>
        <v>Elonore Joliffe</v>
      </c>
      <c r="G139" s="2" t="str">
        <f>IF(_xlfn.XLOOKUP(C139,customers!$A$2:$A$1001,customers!$C$2:$C$1001,,0,1)=0,"",_xlfn.XLOOKUP(C139,customers!$A$2:$A$1001,customers!$C$2:$C$1001,,0,1))</f>
        <v/>
      </c>
      <c r="H139" s="2" t="str">
        <f>_xlfn.XLOOKUP(C139, customers!$A$2:$A$1001, customers!$G$2:$G$1001, , 0, 1)</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Large</v>
      </c>
      <c r="P139" t="str">
        <f>_xlfn.XLOOKUP(Orders[[#This Row],[Customer ID]],customers!$A$1:$A$1001,customers!$I$1:$I$1001,"",0)</f>
        <v>No</v>
      </c>
    </row>
    <row r="140" spans="1:16" x14ac:dyDescent="0.3">
      <c r="A140" s="2" t="s">
        <v>1266</v>
      </c>
      <c r="B140" s="3">
        <v>44238</v>
      </c>
      <c r="C140" s="2" t="s">
        <v>1267</v>
      </c>
      <c r="D140" t="s">
        <v>6183</v>
      </c>
      <c r="E140" s="2">
        <v>4</v>
      </c>
      <c r="F140" t="str">
        <f>_xlfn.XLOOKUP(C140, customers!$A$2:$A$1001, customers!$B$2:$B$1001, , 0, 1)</f>
        <v>Abraham Coleman</v>
      </c>
      <c r="G140" s="2" t="str">
        <f>IF(_xlfn.XLOOKUP(C140,customers!$A$2:$A$1001,customers!$C$2:$C$1001,,0,1)=0,"",_xlfn.XLOOKUP(C140,customers!$A$2:$A$1001,customers!$C$2:$C$1001,,0,1))</f>
        <v/>
      </c>
      <c r="H140" s="2" t="str">
        <f>_xlfn.XLOOKUP(C140, customers!$A$2:$A$1001, customers!$G$2:$G$1001, , 0, 1)</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t="str">
        <f>_xlfn.XLOOKUP(C141, customers!$A$2:$A$1001, customers!$B$2:$B$1001, , 0, 1)</f>
        <v>Rivy Farington</v>
      </c>
      <c r="G141" s="2" t="str">
        <f>IF(_xlfn.XLOOKUP(C141,customers!$A$2:$A$1001,customers!$C$2:$C$1001,,0,1)=0,"",_xlfn.XLOOKUP(C141,customers!$A$2:$A$1001,customers!$C$2:$C$1001,,0,1))</f>
        <v/>
      </c>
      <c r="H141" s="2" t="str">
        <f>_xlfn.XLOOKUP(C141, customers!$A$2:$A$1001, customers!$G$2:$G$1001, , 0, 1)</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t="str">
        <f>_xlfn.XLOOKUP(C142, customers!$A$2:$A$1001, customers!$B$2:$B$1001, , 0, 1)</f>
        <v>Vallie Kundt</v>
      </c>
      <c r="G142" s="2" t="str">
        <f>IF(_xlfn.XLOOKUP(C142,customers!$A$2:$A$1001,customers!$C$2:$C$1001,,0,1)=0,"",_xlfn.XLOOKUP(C142,customers!$A$2:$A$1001,customers!$C$2:$C$1001,,0,1))</f>
        <v>vkundt3w@bigcartel.com</v>
      </c>
      <c r="H142" s="2" t="str">
        <f>_xlfn.XLOOKUP(C142, customers!$A$2:$A$1001, customers!$G$2:$G$1001, , 0, 1)</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t="str">
        <f>_xlfn.XLOOKUP(C143, customers!$A$2:$A$1001, customers!$B$2:$B$1001, , 0, 1)</f>
        <v>Boyd Bett</v>
      </c>
      <c r="G143" s="2" t="str">
        <f>IF(_xlfn.XLOOKUP(C143,customers!$A$2:$A$1001,customers!$C$2:$C$1001,,0,1)=0,"",_xlfn.XLOOKUP(C143,customers!$A$2:$A$1001,customers!$C$2:$C$1001,,0,1))</f>
        <v>bbett3x@google.de</v>
      </c>
      <c r="H143" s="2" t="str">
        <f>_xlfn.XLOOKUP(C143, customers!$A$2:$A$1001, customers!$G$2:$G$1001, , 0, 1)</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Large</v>
      </c>
      <c r="P143" t="str">
        <f>_xlfn.XLOOKUP(Orders[[#This Row],[Customer ID]],customers!$A$1:$A$1001,customers!$I$1:$I$1001,"",0)</f>
        <v>Yes</v>
      </c>
    </row>
    <row r="144" spans="1:16" x14ac:dyDescent="0.3">
      <c r="A144" s="2" t="s">
        <v>1289</v>
      </c>
      <c r="B144" s="3">
        <v>44678</v>
      </c>
      <c r="C144" s="2" t="s">
        <v>1290</v>
      </c>
      <c r="D144" t="s">
        <v>6148</v>
      </c>
      <c r="E144" s="2">
        <v>4</v>
      </c>
      <c r="F144" t="str">
        <f>_xlfn.XLOOKUP(C144, customers!$A$2:$A$1001, customers!$B$2:$B$1001, , 0, 1)</f>
        <v>Julio Armytage</v>
      </c>
      <c r="G144" s="2" t="str">
        <f>IF(_xlfn.XLOOKUP(C144,customers!$A$2:$A$1001,customers!$C$2:$C$1001,,0,1)=0,"",_xlfn.XLOOKUP(C144,customers!$A$2:$A$1001,customers!$C$2:$C$1001,,0,1))</f>
        <v/>
      </c>
      <c r="H144" s="2" t="str">
        <f>_xlfn.XLOOKUP(C144, customers!$A$2:$A$1001, customers!$G$2:$G$1001, , 0, 1)</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Large</v>
      </c>
      <c r="P144" t="str">
        <f>_xlfn.XLOOKUP(Orders[[#This Row],[Customer ID]],customers!$A$1:$A$1001,customers!$I$1:$I$1001,"",0)</f>
        <v>Yes</v>
      </c>
    </row>
    <row r="145" spans="1:16" x14ac:dyDescent="0.3">
      <c r="A145" s="2" t="s">
        <v>1293</v>
      </c>
      <c r="B145" s="3">
        <v>44083</v>
      </c>
      <c r="C145" s="2" t="s">
        <v>1294</v>
      </c>
      <c r="D145" t="s">
        <v>6160</v>
      </c>
      <c r="E145" s="2">
        <v>2</v>
      </c>
      <c r="F145" t="str">
        <f>_xlfn.XLOOKUP(C145, customers!$A$2:$A$1001, customers!$B$2:$B$1001, , 0, 1)</f>
        <v>Deana Staite</v>
      </c>
      <c r="G145" s="2" t="str">
        <f>IF(_xlfn.XLOOKUP(C145,customers!$A$2:$A$1001,customers!$C$2:$C$1001,,0,1)=0,"",_xlfn.XLOOKUP(C145,customers!$A$2:$A$1001,customers!$C$2:$C$1001,,0,1))</f>
        <v>dstaite3z@scientificamerican.com</v>
      </c>
      <c r="H145" s="2" t="str">
        <f>_xlfn.XLOOKUP(C145, customers!$A$2:$A$1001, customers!$G$2:$G$1001, , 0, 1)</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t="str">
        <f>_xlfn.XLOOKUP(C146, customers!$A$2:$A$1001, customers!$B$2:$B$1001, , 0, 1)</f>
        <v>Winn Keyse</v>
      </c>
      <c r="G146" s="2" t="str">
        <f>IF(_xlfn.XLOOKUP(C146,customers!$A$2:$A$1001,customers!$C$2:$C$1001,,0,1)=0,"",_xlfn.XLOOKUP(C146,customers!$A$2:$A$1001,customers!$C$2:$C$1001,,0,1))</f>
        <v>wkeyse40@apple.com</v>
      </c>
      <c r="H146" s="2" t="str">
        <f>_xlfn.XLOOKUP(C146, customers!$A$2:$A$1001, customers!$G$2:$G$1001, , 0, 1)</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Large</v>
      </c>
      <c r="P146" t="str">
        <f>_xlfn.XLOOKUP(Orders[[#This Row],[Customer ID]],customers!$A$1:$A$1001,customers!$I$1:$I$1001,"",0)</f>
        <v>Yes</v>
      </c>
    </row>
    <row r="147" spans="1:16" x14ac:dyDescent="0.3">
      <c r="A147" s="2" t="s">
        <v>1305</v>
      </c>
      <c r="B147" s="3">
        <v>43562</v>
      </c>
      <c r="C147" s="2" t="s">
        <v>1306</v>
      </c>
      <c r="D147" t="s">
        <v>6159</v>
      </c>
      <c r="E147" s="2">
        <v>4</v>
      </c>
      <c r="F147" t="str">
        <f>_xlfn.XLOOKUP(C147, customers!$A$2:$A$1001, customers!$B$2:$B$1001, , 0, 1)</f>
        <v>Osmund Clausen-Thue</v>
      </c>
      <c r="G147" s="2" t="str">
        <f>IF(_xlfn.XLOOKUP(C147,customers!$A$2:$A$1001,customers!$C$2:$C$1001,,0,1)=0,"",_xlfn.XLOOKUP(C147,customers!$A$2:$A$1001,customers!$C$2:$C$1001,,0,1))</f>
        <v>oclausenthue41@marriott.com</v>
      </c>
      <c r="H147" s="2" t="str">
        <f>_xlfn.XLOOKUP(C147, customers!$A$2:$A$1001, customers!$G$2:$G$1001, , 0, 1)</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t="str">
        <f>_xlfn.XLOOKUP(C148, customers!$A$2:$A$1001, customers!$B$2:$B$1001, , 0, 1)</f>
        <v>Leonore Francisco</v>
      </c>
      <c r="G148" s="2" t="str">
        <f>IF(_xlfn.XLOOKUP(C148,customers!$A$2:$A$1001,customers!$C$2:$C$1001,,0,1)=0,"",_xlfn.XLOOKUP(C148,customers!$A$2:$A$1001,customers!$C$2:$C$1001,,0,1))</f>
        <v>lfrancisco42@fema.gov</v>
      </c>
      <c r="H148" s="2" t="str">
        <f>_xlfn.XLOOKUP(C148, customers!$A$2:$A$1001, customers!$G$2:$G$1001, , 0, 1)</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t="str">
        <f>_xlfn.XLOOKUP(C149, customers!$A$2:$A$1001, customers!$B$2:$B$1001, , 0, 1)</f>
        <v>Leonore Francisco</v>
      </c>
      <c r="G149" s="2" t="str">
        <f>IF(_xlfn.XLOOKUP(C149,customers!$A$2:$A$1001,customers!$C$2:$C$1001,,0,1)=0,"",_xlfn.XLOOKUP(C149,customers!$A$2:$A$1001,customers!$C$2:$C$1001,,0,1))</f>
        <v>lfrancisco42@fema.gov</v>
      </c>
      <c r="H149" s="2" t="str">
        <f>_xlfn.XLOOKUP(C149, customers!$A$2:$A$1001, customers!$G$2:$G$1001, , 0, 1)</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t="str">
        <f>_xlfn.XLOOKUP(C150, customers!$A$2:$A$1001, customers!$B$2:$B$1001, , 0, 1)</f>
        <v>Giacobo Skingle</v>
      </c>
      <c r="G150" s="2" t="str">
        <f>IF(_xlfn.XLOOKUP(C150,customers!$A$2:$A$1001,customers!$C$2:$C$1001,,0,1)=0,"",_xlfn.XLOOKUP(C150,customers!$A$2:$A$1001,customers!$C$2:$C$1001,,0,1))</f>
        <v>gskingle44@clickbank.net</v>
      </c>
      <c r="H150" s="2" t="str">
        <f>_xlfn.XLOOKUP(C150, customers!$A$2:$A$1001, customers!$G$2:$G$1001, , 0, 1)</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t="str">
        <f>_xlfn.XLOOKUP(C151, customers!$A$2:$A$1001, customers!$B$2:$B$1001, , 0, 1)</f>
        <v>Gerard Pirdy</v>
      </c>
      <c r="G151" s="2" t="str">
        <f>IF(_xlfn.XLOOKUP(C151,customers!$A$2:$A$1001,customers!$C$2:$C$1001,,0,1)=0,"",_xlfn.XLOOKUP(C151,customers!$A$2:$A$1001,customers!$C$2:$C$1001,,0,1))</f>
        <v/>
      </c>
      <c r="H151" s="2" t="str">
        <f>_xlfn.XLOOKUP(C151, customers!$A$2:$A$1001, customers!$G$2:$G$1001, , 0, 1)</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t="str">
        <f>_xlfn.XLOOKUP(C152, customers!$A$2:$A$1001, customers!$B$2:$B$1001, , 0, 1)</f>
        <v>Jacinthe Balsillie</v>
      </c>
      <c r="G152" s="2" t="str">
        <f>IF(_xlfn.XLOOKUP(C152,customers!$A$2:$A$1001,customers!$C$2:$C$1001,,0,1)=0,"",_xlfn.XLOOKUP(C152,customers!$A$2:$A$1001,customers!$C$2:$C$1001,,0,1))</f>
        <v>jbalsillie46@princeton.edu</v>
      </c>
      <c r="H152" s="2" t="str">
        <f>_xlfn.XLOOKUP(C152, customers!$A$2:$A$1001, customers!$G$2:$G$1001, , 0, 1)</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t="str">
        <f>_xlfn.XLOOKUP(C153, customers!$A$2:$A$1001, customers!$B$2:$B$1001, , 0, 1)</f>
        <v>Quinton Fouracres</v>
      </c>
      <c r="G153" s="2" t="str">
        <f>IF(_xlfn.XLOOKUP(C153,customers!$A$2:$A$1001,customers!$C$2:$C$1001,,0,1)=0,"",_xlfn.XLOOKUP(C153,customers!$A$2:$A$1001,customers!$C$2:$C$1001,,0,1))</f>
        <v/>
      </c>
      <c r="H153" s="2" t="str">
        <f>_xlfn.XLOOKUP(C153, customers!$A$2:$A$1001, customers!$G$2:$G$1001, , 0, 1)</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t="str">
        <f>_xlfn.XLOOKUP(C154, customers!$A$2:$A$1001, customers!$B$2:$B$1001, , 0, 1)</f>
        <v>Bettina Leffek</v>
      </c>
      <c r="G154" s="2" t="str">
        <f>IF(_xlfn.XLOOKUP(C154,customers!$A$2:$A$1001,customers!$C$2:$C$1001,,0,1)=0,"",_xlfn.XLOOKUP(C154,customers!$A$2:$A$1001,customers!$C$2:$C$1001,,0,1))</f>
        <v>bleffek48@ning.com</v>
      </c>
      <c r="H154" s="2" t="str">
        <f>_xlfn.XLOOKUP(C154, customers!$A$2:$A$1001, customers!$G$2:$G$1001, , 0, 1)</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t="str">
        <f>_xlfn.XLOOKUP(C155, customers!$A$2:$A$1001, customers!$B$2:$B$1001, , 0, 1)</f>
        <v>Hetti Penson</v>
      </c>
      <c r="G155" s="2" t="str">
        <f>IF(_xlfn.XLOOKUP(C155,customers!$A$2:$A$1001,customers!$C$2:$C$1001,,0,1)=0,"",_xlfn.XLOOKUP(C155,customers!$A$2:$A$1001,customers!$C$2:$C$1001,,0,1))</f>
        <v/>
      </c>
      <c r="H155" s="2" t="str">
        <f>_xlfn.XLOOKUP(C155, customers!$A$2:$A$1001, customers!$G$2:$G$1001, , 0, 1)</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t="str">
        <f>_xlfn.XLOOKUP(C156, customers!$A$2:$A$1001, customers!$B$2:$B$1001, , 0, 1)</f>
        <v>Jocko Pray</v>
      </c>
      <c r="G156" s="2" t="str">
        <f>IF(_xlfn.XLOOKUP(C156,customers!$A$2:$A$1001,customers!$C$2:$C$1001,,0,1)=0,"",_xlfn.XLOOKUP(C156,customers!$A$2:$A$1001,customers!$C$2:$C$1001,,0,1))</f>
        <v>jpray4a@youtube.com</v>
      </c>
      <c r="H156" s="2" t="str">
        <f>_xlfn.XLOOKUP(C156, customers!$A$2:$A$1001, customers!$G$2:$G$1001, , 0, 1)</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t="str">
        <f>_xlfn.XLOOKUP(C157, customers!$A$2:$A$1001, customers!$B$2:$B$1001, , 0, 1)</f>
        <v>Grete Holborn</v>
      </c>
      <c r="G157" s="2" t="str">
        <f>IF(_xlfn.XLOOKUP(C157,customers!$A$2:$A$1001,customers!$C$2:$C$1001,,0,1)=0,"",_xlfn.XLOOKUP(C157,customers!$A$2:$A$1001,customers!$C$2:$C$1001,,0,1))</f>
        <v>gholborn4b@ow.ly</v>
      </c>
      <c r="H157" s="2" t="str">
        <f>_xlfn.XLOOKUP(C157, customers!$A$2:$A$1001, customers!$G$2:$G$1001, , 0, 1)</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t="str">
        <f>_xlfn.XLOOKUP(C158, customers!$A$2:$A$1001, customers!$B$2:$B$1001, , 0, 1)</f>
        <v>Fielding Keinrat</v>
      </c>
      <c r="G158" s="2" t="str">
        <f>IF(_xlfn.XLOOKUP(C158,customers!$A$2:$A$1001,customers!$C$2:$C$1001,,0,1)=0,"",_xlfn.XLOOKUP(C158,customers!$A$2:$A$1001,customers!$C$2:$C$1001,,0,1))</f>
        <v>fkeinrat4c@dailymail.co.uk</v>
      </c>
      <c r="H158" s="2" t="str">
        <f>_xlfn.XLOOKUP(C158, customers!$A$2:$A$1001, customers!$G$2:$G$1001, , 0, 1)</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t="str">
        <f>_xlfn.XLOOKUP(C159, customers!$A$2:$A$1001, customers!$B$2:$B$1001, , 0, 1)</f>
        <v>Paulo Yea</v>
      </c>
      <c r="G159" s="2" t="str">
        <f>IF(_xlfn.XLOOKUP(C159,customers!$A$2:$A$1001,customers!$C$2:$C$1001,,0,1)=0,"",_xlfn.XLOOKUP(C159,customers!$A$2:$A$1001,customers!$C$2:$C$1001,,0,1))</f>
        <v>pyea4d@aol.com</v>
      </c>
      <c r="H159" s="2" t="str">
        <f>_xlfn.XLOOKUP(C159, customers!$A$2:$A$1001, customers!$G$2:$G$1001, , 0, 1)</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t="str">
        <f>_xlfn.XLOOKUP(C160, customers!$A$2:$A$1001, customers!$B$2:$B$1001, , 0, 1)</f>
        <v>Say Risborough</v>
      </c>
      <c r="G160" s="2" t="str">
        <f>IF(_xlfn.XLOOKUP(C160,customers!$A$2:$A$1001,customers!$C$2:$C$1001,,0,1)=0,"",_xlfn.XLOOKUP(C160,customers!$A$2:$A$1001,customers!$C$2:$C$1001,,0,1))</f>
        <v/>
      </c>
      <c r="H160" s="2" t="str">
        <f>_xlfn.XLOOKUP(C160, customers!$A$2:$A$1001, customers!$G$2:$G$1001, , 0, 1)</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t="str">
        <f>_xlfn.XLOOKUP(C161, customers!$A$2:$A$1001, customers!$B$2:$B$1001, , 0, 1)</f>
        <v>Alexa Sizey</v>
      </c>
      <c r="G161" s="2" t="str">
        <f>IF(_xlfn.XLOOKUP(C161,customers!$A$2:$A$1001,customers!$C$2:$C$1001,,0,1)=0,"",_xlfn.XLOOKUP(C161,customers!$A$2:$A$1001,customers!$C$2:$C$1001,,0,1))</f>
        <v/>
      </c>
      <c r="H161" s="2" t="str">
        <f>_xlfn.XLOOKUP(C161, customers!$A$2:$A$1001, customers!$G$2:$G$1001, , 0, 1)</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Large</v>
      </c>
      <c r="P161" t="str">
        <f>_xlfn.XLOOKUP(Orders[[#This Row],[Customer ID]],customers!$A$1:$A$1001,customers!$I$1:$I$1001,"",0)</f>
        <v>No</v>
      </c>
    </row>
    <row r="162" spans="1:16" x14ac:dyDescent="0.3">
      <c r="A162" s="2" t="s">
        <v>1389</v>
      </c>
      <c r="B162" s="3">
        <v>43837</v>
      </c>
      <c r="C162" s="2" t="s">
        <v>1390</v>
      </c>
      <c r="D162" t="s">
        <v>6139</v>
      </c>
      <c r="E162" s="2">
        <v>4</v>
      </c>
      <c r="F162" t="str">
        <f>_xlfn.XLOOKUP(C162, customers!$A$2:$A$1001, customers!$B$2:$B$1001, , 0, 1)</f>
        <v>Kari Swede</v>
      </c>
      <c r="G162" s="2" t="str">
        <f>IF(_xlfn.XLOOKUP(C162,customers!$A$2:$A$1001,customers!$C$2:$C$1001,,0,1)=0,"",_xlfn.XLOOKUP(C162,customers!$A$2:$A$1001,customers!$C$2:$C$1001,,0,1))</f>
        <v>kswede4g@addthis.com</v>
      </c>
      <c r="H162" s="2" t="str">
        <f>_xlfn.XLOOKUP(C162, customers!$A$2:$A$1001, customers!$G$2:$G$1001, , 0, 1)</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t="str">
        <f>_xlfn.XLOOKUP(C163, customers!$A$2:$A$1001, customers!$B$2:$B$1001, , 0, 1)</f>
        <v>Leontine Rubrow</v>
      </c>
      <c r="G163" s="2" t="str">
        <f>IF(_xlfn.XLOOKUP(C163,customers!$A$2:$A$1001,customers!$C$2:$C$1001,,0,1)=0,"",_xlfn.XLOOKUP(C163,customers!$A$2:$A$1001,customers!$C$2:$C$1001,,0,1))</f>
        <v>lrubrow4h@microsoft.com</v>
      </c>
      <c r="H163" s="2" t="str">
        <f>_xlfn.XLOOKUP(C163, customers!$A$2:$A$1001, customers!$G$2:$G$1001, , 0, 1)</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Large</v>
      </c>
      <c r="P163" t="str">
        <f>_xlfn.XLOOKUP(Orders[[#This Row],[Customer ID]],customers!$A$1:$A$1001,customers!$I$1:$I$1001,"",0)</f>
        <v>No</v>
      </c>
    </row>
    <row r="164" spans="1:16" x14ac:dyDescent="0.3">
      <c r="A164" s="2" t="s">
        <v>1401</v>
      </c>
      <c r="B164" s="3">
        <v>44515</v>
      </c>
      <c r="C164" s="2" t="s">
        <v>1402</v>
      </c>
      <c r="D164" t="s">
        <v>6144</v>
      </c>
      <c r="E164" s="2">
        <v>3</v>
      </c>
      <c r="F164" t="str">
        <f>_xlfn.XLOOKUP(C164, customers!$A$2:$A$1001, customers!$B$2:$B$1001, , 0, 1)</f>
        <v>Dottie Tift</v>
      </c>
      <c r="G164" s="2" t="str">
        <f>IF(_xlfn.XLOOKUP(C164,customers!$A$2:$A$1001,customers!$C$2:$C$1001,,0,1)=0,"",_xlfn.XLOOKUP(C164,customers!$A$2:$A$1001,customers!$C$2:$C$1001,,0,1))</f>
        <v>dtift4i@netvibes.com</v>
      </c>
      <c r="H164" s="2" t="str">
        <f>_xlfn.XLOOKUP(C164, customers!$A$2:$A$1001, customers!$G$2:$G$1001, , 0, 1)</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t="str">
        <f>_xlfn.XLOOKUP(C165, customers!$A$2:$A$1001, customers!$B$2:$B$1001, , 0, 1)</f>
        <v>Gerardo Schonfeld</v>
      </c>
      <c r="G165" s="2" t="str">
        <f>IF(_xlfn.XLOOKUP(C165,customers!$A$2:$A$1001,customers!$C$2:$C$1001,,0,1)=0,"",_xlfn.XLOOKUP(C165,customers!$A$2:$A$1001,customers!$C$2:$C$1001,,0,1))</f>
        <v>gschonfeld4j@oracle.com</v>
      </c>
      <c r="H165" s="2" t="str">
        <f>_xlfn.XLOOKUP(C165, customers!$A$2:$A$1001, customers!$G$2:$G$1001, , 0, 1)</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t="str">
        <f>_xlfn.XLOOKUP(C166, customers!$A$2:$A$1001, customers!$B$2:$B$1001, , 0, 1)</f>
        <v>Claiborne Feye</v>
      </c>
      <c r="G166" s="2" t="str">
        <f>IF(_xlfn.XLOOKUP(C166,customers!$A$2:$A$1001,customers!$C$2:$C$1001,,0,1)=0,"",_xlfn.XLOOKUP(C166,customers!$A$2:$A$1001,customers!$C$2:$C$1001,,0,1))</f>
        <v>cfeye4k@google.co.jp</v>
      </c>
      <c r="H166" s="2" t="str">
        <f>_xlfn.XLOOKUP(C166, customers!$A$2:$A$1001, customers!$G$2:$G$1001, , 0, 1)</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t="str">
        <f>_xlfn.XLOOKUP(C167, customers!$A$2:$A$1001, customers!$B$2:$B$1001, , 0, 1)</f>
        <v>Mina Elstone</v>
      </c>
      <c r="G167" s="2" t="str">
        <f>IF(_xlfn.XLOOKUP(C167,customers!$A$2:$A$1001,customers!$C$2:$C$1001,,0,1)=0,"",_xlfn.XLOOKUP(C167,customers!$A$2:$A$1001,customers!$C$2:$C$1001,,0,1))</f>
        <v/>
      </c>
      <c r="H167" s="2" t="str">
        <f>_xlfn.XLOOKUP(C167, customers!$A$2:$A$1001, customers!$G$2:$G$1001, , 0, 1)</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t="str">
        <f>_xlfn.XLOOKUP(C168, customers!$A$2:$A$1001, customers!$B$2:$B$1001, , 0, 1)</f>
        <v>Sherman Mewrcik</v>
      </c>
      <c r="G168" s="2" t="str">
        <f>IF(_xlfn.XLOOKUP(C168,customers!$A$2:$A$1001,customers!$C$2:$C$1001,,0,1)=0,"",_xlfn.XLOOKUP(C168,customers!$A$2:$A$1001,customers!$C$2:$C$1001,,0,1))</f>
        <v/>
      </c>
      <c r="H168" s="2" t="str">
        <f>_xlfn.XLOOKUP(C168, customers!$A$2:$A$1001, customers!$G$2:$G$1001, , 0, 1)</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t="str">
        <f>_xlfn.XLOOKUP(C169, customers!$A$2:$A$1001, customers!$B$2:$B$1001, , 0, 1)</f>
        <v>Tamarah Fero</v>
      </c>
      <c r="G169" s="2" t="str">
        <f>IF(_xlfn.XLOOKUP(C169,customers!$A$2:$A$1001,customers!$C$2:$C$1001,,0,1)=0,"",_xlfn.XLOOKUP(C169,customers!$A$2:$A$1001,customers!$C$2:$C$1001,,0,1))</f>
        <v>tfero4n@comsenz.com</v>
      </c>
      <c r="H169" s="2" t="str">
        <f>_xlfn.XLOOKUP(C169, customers!$A$2:$A$1001, customers!$G$2:$G$1001, , 0, 1)</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t="str">
        <f>_xlfn.XLOOKUP(C170, customers!$A$2:$A$1001, customers!$B$2:$B$1001, , 0, 1)</f>
        <v>Stanislaus Valsler</v>
      </c>
      <c r="G170" s="2" t="str">
        <f>IF(_xlfn.XLOOKUP(C170,customers!$A$2:$A$1001,customers!$C$2:$C$1001,,0,1)=0,"",_xlfn.XLOOKUP(C170,customers!$A$2:$A$1001,customers!$C$2:$C$1001,,0,1))</f>
        <v/>
      </c>
      <c r="H170" s="2" t="str">
        <f>_xlfn.XLOOKUP(C170, customers!$A$2:$A$1001, customers!$G$2:$G$1001, , 0, 1)</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t="str">
        <f>_xlfn.XLOOKUP(C171, customers!$A$2:$A$1001, customers!$B$2:$B$1001, , 0, 1)</f>
        <v>Felita Dauney</v>
      </c>
      <c r="G171" s="2" t="str">
        <f>IF(_xlfn.XLOOKUP(C171,customers!$A$2:$A$1001,customers!$C$2:$C$1001,,0,1)=0,"",_xlfn.XLOOKUP(C171,customers!$A$2:$A$1001,customers!$C$2:$C$1001,,0,1))</f>
        <v>fdauney4p@sphinn.com</v>
      </c>
      <c r="H171" s="2" t="str">
        <f>_xlfn.XLOOKUP(C171, customers!$A$2:$A$1001, customers!$G$2:$G$1001, , 0, 1)</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t="str">
        <f>_xlfn.XLOOKUP(C172, customers!$A$2:$A$1001, customers!$B$2:$B$1001, , 0, 1)</f>
        <v>Serena Earley</v>
      </c>
      <c r="G172" s="2" t="str">
        <f>IF(_xlfn.XLOOKUP(C172,customers!$A$2:$A$1001,customers!$C$2:$C$1001,,0,1)=0,"",_xlfn.XLOOKUP(C172,customers!$A$2:$A$1001,customers!$C$2:$C$1001,,0,1))</f>
        <v>searley4q@youku.com</v>
      </c>
      <c r="H172" s="2" t="str">
        <f>_xlfn.XLOOKUP(C172, customers!$A$2:$A$1001, customers!$G$2:$G$1001, , 0, 1)</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Large</v>
      </c>
      <c r="P172" t="str">
        <f>_xlfn.XLOOKUP(Orders[[#This Row],[Customer ID]],customers!$A$1:$A$1001,customers!$I$1:$I$1001,"",0)</f>
        <v>No</v>
      </c>
    </row>
    <row r="173" spans="1:16" x14ac:dyDescent="0.3">
      <c r="A173" s="2" t="s">
        <v>1453</v>
      </c>
      <c r="B173" s="3">
        <v>43544</v>
      </c>
      <c r="C173" s="2" t="s">
        <v>1454</v>
      </c>
      <c r="D173" t="s">
        <v>6166</v>
      </c>
      <c r="E173" s="2">
        <v>2</v>
      </c>
      <c r="F173" t="str">
        <f>_xlfn.XLOOKUP(C173, customers!$A$2:$A$1001, customers!$B$2:$B$1001, , 0, 1)</f>
        <v>Minny Chamberlayne</v>
      </c>
      <c r="G173" s="2" t="str">
        <f>IF(_xlfn.XLOOKUP(C173,customers!$A$2:$A$1001,customers!$C$2:$C$1001,,0,1)=0,"",_xlfn.XLOOKUP(C173,customers!$A$2:$A$1001,customers!$C$2:$C$1001,,0,1))</f>
        <v>mchamberlayne4r@bigcartel.com</v>
      </c>
      <c r="H173" s="2" t="str">
        <f>_xlfn.XLOOKUP(C173, customers!$A$2:$A$1001, customers!$G$2:$G$1001, , 0, 1)</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t="str">
        <f>_xlfn.XLOOKUP(C174, customers!$A$2:$A$1001, customers!$B$2:$B$1001, , 0, 1)</f>
        <v>Bartholemy Flaherty</v>
      </c>
      <c r="G174" s="2" t="str">
        <f>IF(_xlfn.XLOOKUP(C174,customers!$A$2:$A$1001,customers!$C$2:$C$1001,,0,1)=0,"",_xlfn.XLOOKUP(C174,customers!$A$2:$A$1001,customers!$C$2:$C$1001,,0,1))</f>
        <v>bflaherty4s@moonfruit.com</v>
      </c>
      <c r="H174" s="2" t="str">
        <f>_xlfn.XLOOKUP(C174, customers!$A$2:$A$1001, customers!$G$2:$G$1001, , 0, 1)</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t="str">
        <f>_xlfn.XLOOKUP(C175, customers!$A$2:$A$1001, customers!$B$2:$B$1001, , 0, 1)</f>
        <v>Oran Colbeck</v>
      </c>
      <c r="G175" s="2" t="str">
        <f>IF(_xlfn.XLOOKUP(C175,customers!$A$2:$A$1001,customers!$C$2:$C$1001,,0,1)=0,"",_xlfn.XLOOKUP(C175,customers!$A$2:$A$1001,customers!$C$2:$C$1001,,0,1))</f>
        <v>ocolbeck4t@sina.com.cn</v>
      </c>
      <c r="H175" s="2" t="str">
        <f>_xlfn.XLOOKUP(C175, customers!$A$2:$A$1001, customers!$G$2:$G$1001, , 0, 1)</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t="str">
        <f>_xlfn.XLOOKUP(C176, customers!$A$2:$A$1001, customers!$B$2:$B$1001, , 0, 1)</f>
        <v>Elysee Sketch</v>
      </c>
      <c r="G176" s="2" t="str">
        <f>IF(_xlfn.XLOOKUP(C176,customers!$A$2:$A$1001,customers!$C$2:$C$1001,,0,1)=0,"",_xlfn.XLOOKUP(C176,customers!$A$2:$A$1001,customers!$C$2:$C$1001,,0,1))</f>
        <v/>
      </c>
      <c r="H176" s="2" t="str">
        <f>_xlfn.XLOOKUP(C176, customers!$A$2:$A$1001, customers!$G$2:$G$1001, , 0, 1)</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Large</v>
      </c>
      <c r="P176" t="str">
        <f>_xlfn.XLOOKUP(Orders[[#This Row],[Customer ID]],customers!$A$1:$A$1001,customers!$I$1:$I$1001,"",0)</f>
        <v>Yes</v>
      </c>
    </row>
    <row r="177" spans="1:16" x14ac:dyDescent="0.3">
      <c r="A177" s="2" t="s">
        <v>1475</v>
      </c>
      <c r="B177" s="3">
        <v>44296</v>
      </c>
      <c r="C177" s="2" t="s">
        <v>1476</v>
      </c>
      <c r="D177" t="s">
        <v>6166</v>
      </c>
      <c r="E177" s="2">
        <v>2</v>
      </c>
      <c r="F177" t="str">
        <f>_xlfn.XLOOKUP(C177, customers!$A$2:$A$1001, customers!$B$2:$B$1001, , 0, 1)</f>
        <v>Ethelda Hobbing</v>
      </c>
      <c r="G177" s="2" t="str">
        <f>IF(_xlfn.XLOOKUP(C177,customers!$A$2:$A$1001,customers!$C$2:$C$1001,,0,1)=0,"",_xlfn.XLOOKUP(C177,customers!$A$2:$A$1001,customers!$C$2:$C$1001,,0,1))</f>
        <v>ehobbing4v@nsw.gov.au</v>
      </c>
      <c r="H177" s="2" t="str">
        <f>_xlfn.XLOOKUP(C177, customers!$A$2:$A$1001, customers!$G$2:$G$1001, , 0, 1)</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t="str">
        <f>_xlfn.XLOOKUP(C178, customers!$A$2:$A$1001, customers!$B$2:$B$1001, , 0, 1)</f>
        <v>Odille Thynne</v>
      </c>
      <c r="G178" s="2" t="str">
        <f>IF(_xlfn.XLOOKUP(C178,customers!$A$2:$A$1001,customers!$C$2:$C$1001,,0,1)=0,"",_xlfn.XLOOKUP(C178,customers!$A$2:$A$1001,customers!$C$2:$C$1001,,0,1))</f>
        <v>othynne4w@auda.org.au</v>
      </c>
      <c r="H178" s="2" t="str">
        <f>_xlfn.XLOOKUP(C178, customers!$A$2:$A$1001, customers!$G$2:$G$1001, , 0, 1)</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Large</v>
      </c>
      <c r="P178" t="str">
        <f>_xlfn.XLOOKUP(Orders[[#This Row],[Customer ID]],customers!$A$1:$A$1001,customers!$I$1:$I$1001,"",0)</f>
        <v>Yes</v>
      </c>
    </row>
    <row r="179" spans="1:16" x14ac:dyDescent="0.3">
      <c r="A179" s="2" t="s">
        <v>1487</v>
      </c>
      <c r="B179" s="3">
        <v>44120</v>
      </c>
      <c r="C179" s="2" t="s">
        <v>1488</v>
      </c>
      <c r="D179" t="s">
        <v>6142</v>
      </c>
      <c r="E179" s="2">
        <v>4</v>
      </c>
      <c r="F179" t="str">
        <f>_xlfn.XLOOKUP(C179, customers!$A$2:$A$1001, customers!$B$2:$B$1001, , 0, 1)</f>
        <v>Emlynne Heining</v>
      </c>
      <c r="G179" s="2" t="str">
        <f>IF(_xlfn.XLOOKUP(C179,customers!$A$2:$A$1001,customers!$C$2:$C$1001,,0,1)=0,"",_xlfn.XLOOKUP(C179,customers!$A$2:$A$1001,customers!$C$2:$C$1001,,0,1))</f>
        <v>eheining4x@flickr.com</v>
      </c>
      <c r="H179" s="2" t="str">
        <f>_xlfn.XLOOKUP(C179, customers!$A$2:$A$1001, customers!$G$2:$G$1001, , 0, 1)</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Large</v>
      </c>
      <c r="P179" t="str">
        <f>_xlfn.XLOOKUP(Orders[[#This Row],[Customer ID]],customers!$A$1:$A$1001,customers!$I$1:$I$1001,"",0)</f>
        <v>Yes</v>
      </c>
    </row>
    <row r="180" spans="1:16" x14ac:dyDescent="0.3">
      <c r="A180" s="2" t="s">
        <v>1492</v>
      </c>
      <c r="B180" s="3">
        <v>43746</v>
      </c>
      <c r="C180" s="2" t="s">
        <v>1493</v>
      </c>
      <c r="D180" t="s">
        <v>6140</v>
      </c>
      <c r="E180" s="2">
        <v>2</v>
      </c>
      <c r="F180" t="str">
        <f>_xlfn.XLOOKUP(C180, customers!$A$2:$A$1001, customers!$B$2:$B$1001, , 0, 1)</f>
        <v>Katerina Melloi</v>
      </c>
      <c r="G180" s="2" t="str">
        <f>IF(_xlfn.XLOOKUP(C180,customers!$A$2:$A$1001,customers!$C$2:$C$1001,,0,1)=0,"",_xlfn.XLOOKUP(C180,customers!$A$2:$A$1001,customers!$C$2:$C$1001,,0,1))</f>
        <v>kmelloi4y@imdb.com</v>
      </c>
      <c r="H180" s="2" t="str">
        <f>_xlfn.XLOOKUP(C180, customers!$A$2:$A$1001, customers!$G$2:$G$1001, , 0, 1)</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Large</v>
      </c>
      <c r="P180" t="str">
        <f>_xlfn.XLOOKUP(Orders[[#This Row],[Customer ID]],customers!$A$1:$A$1001,customers!$I$1:$I$1001,"",0)</f>
        <v>No</v>
      </c>
    </row>
    <row r="181" spans="1:16" x14ac:dyDescent="0.3">
      <c r="A181" s="2" t="s">
        <v>1498</v>
      </c>
      <c r="B181" s="3">
        <v>43830</v>
      </c>
      <c r="C181" s="2" t="s">
        <v>1499</v>
      </c>
      <c r="D181" t="s">
        <v>6154</v>
      </c>
      <c r="E181" s="2">
        <v>1</v>
      </c>
      <c r="F181" t="str">
        <f>_xlfn.XLOOKUP(C181, customers!$A$2:$A$1001, customers!$B$2:$B$1001, , 0, 1)</f>
        <v>Tiffany Scardafield</v>
      </c>
      <c r="G181" s="2" t="str">
        <f>IF(_xlfn.XLOOKUP(C181,customers!$A$2:$A$1001,customers!$C$2:$C$1001,,0,1)=0,"",_xlfn.XLOOKUP(C181,customers!$A$2:$A$1001,customers!$C$2:$C$1001,,0,1))</f>
        <v/>
      </c>
      <c r="H181" s="2" t="str">
        <f>_xlfn.XLOOKUP(C181, customers!$A$2:$A$1001, customers!$G$2:$G$1001, , 0, 1)</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t="str">
        <f>_xlfn.XLOOKUP(C182, customers!$A$2:$A$1001, customers!$B$2:$B$1001, , 0, 1)</f>
        <v>Abrahan Mussen</v>
      </c>
      <c r="G182" s="2" t="str">
        <f>IF(_xlfn.XLOOKUP(C182,customers!$A$2:$A$1001,customers!$C$2:$C$1001,,0,1)=0,"",_xlfn.XLOOKUP(C182,customers!$A$2:$A$1001,customers!$C$2:$C$1001,,0,1))</f>
        <v>amussen50@51.la</v>
      </c>
      <c r="H182" s="2" t="str">
        <f>_xlfn.XLOOKUP(C182, customers!$A$2:$A$1001, customers!$G$2:$G$1001, , 0, 1)</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Large</v>
      </c>
      <c r="P182" t="str">
        <f>_xlfn.XLOOKUP(Orders[[#This Row],[Customer ID]],customers!$A$1:$A$1001,customers!$I$1:$I$1001,"",0)</f>
        <v>No</v>
      </c>
    </row>
    <row r="183" spans="1:16" x14ac:dyDescent="0.3">
      <c r="A183" s="2" t="s">
        <v>1503</v>
      </c>
      <c r="B183" s="3">
        <v>43910</v>
      </c>
      <c r="C183" s="2" t="s">
        <v>1504</v>
      </c>
      <c r="D183" t="s">
        <v>6158</v>
      </c>
      <c r="E183" s="2">
        <v>5</v>
      </c>
      <c r="F183" t="str">
        <f>_xlfn.XLOOKUP(C183, customers!$A$2:$A$1001, customers!$B$2:$B$1001, , 0, 1)</f>
        <v>Abrahan Mussen</v>
      </c>
      <c r="G183" s="2" t="str">
        <f>IF(_xlfn.XLOOKUP(C183,customers!$A$2:$A$1001,customers!$C$2:$C$1001,,0,1)=0,"",_xlfn.XLOOKUP(C183,customers!$A$2:$A$1001,customers!$C$2:$C$1001,,0,1))</f>
        <v>amussen50@51.la</v>
      </c>
      <c r="H183" s="2" t="str">
        <f>_xlfn.XLOOKUP(C183, customers!$A$2:$A$1001, customers!$G$2:$G$1001, , 0, 1)</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t="str">
        <f>_xlfn.XLOOKUP(C184, customers!$A$2:$A$1001, customers!$B$2:$B$1001, , 0, 1)</f>
        <v>Anny Mundford</v>
      </c>
      <c r="G184" s="2" t="str">
        <f>IF(_xlfn.XLOOKUP(C184,customers!$A$2:$A$1001,customers!$C$2:$C$1001,,0,1)=0,"",_xlfn.XLOOKUP(C184,customers!$A$2:$A$1001,customers!$C$2:$C$1001,,0,1))</f>
        <v>amundford52@nbcnews.com</v>
      </c>
      <c r="H184" s="2" t="str">
        <f>_xlfn.XLOOKUP(C184, customers!$A$2:$A$1001, customers!$G$2:$G$1001, , 0, 1)</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t="str">
        <f>_xlfn.XLOOKUP(C185, customers!$A$2:$A$1001, customers!$B$2:$B$1001, , 0, 1)</f>
        <v>Tory Walas</v>
      </c>
      <c r="G185" s="2" t="str">
        <f>IF(_xlfn.XLOOKUP(C185,customers!$A$2:$A$1001,customers!$C$2:$C$1001,,0,1)=0,"",_xlfn.XLOOKUP(C185,customers!$A$2:$A$1001,customers!$C$2:$C$1001,,0,1))</f>
        <v>twalas53@google.ca</v>
      </c>
      <c r="H185" s="2" t="str">
        <f>_xlfn.XLOOKUP(C185, customers!$A$2:$A$1001, customers!$G$2:$G$1001, , 0, 1)</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t="str">
        <f>_xlfn.XLOOKUP(C186, customers!$A$2:$A$1001, customers!$B$2:$B$1001, , 0, 1)</f>
        <v>Isa Blazewicz</v>
      </c>
      <c r="G186" s="2" t="str">
        <f>IF(_xlfn.XLOOKUP(C186,customers!$A$2:$A$1001,customers!$C$2:$C$1001,,0,1)=0,"",_xlfn.XLOOKUP(C186,customers!$A$2:$A$1001,customers!$C$2:$C$1001,,0,1))</f>
        <v>iblazewicz54@thetimes.co.uk</v>
      </c>
      <c r="H186" s="2" t="str">
        <f>_xlfn.XLOOKUP(C186, customers!$A$2:$A$1001, customers!$G$2:$G$1001, , 0, 1)</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Large</v>
      </c>
      <c r="P186" t="str">
        <f>_xlfn.XLOOKUP(Orders[[#This Row],[Customer ID]],customers!$A$1:$A$1001,customers!$I$1:$I$1001,"",0)</f>
        <v>No</v>
      </c>
    </row>
    <row r="187" spans="1:16" x14ac:dyDescent="0.3">
      <c r="A187" s="2" t="s">
        <v>1532</v>
      </c>
      <c r="B187" s="3">
        <v>43483</v>
      </c>
      <c r="C187" s="2" t="s">
        <v>1533</v>
      </c>
      <c r="D187" t="s">
        <v>6144</v>
      </c>
      <c r="E187" s="2">
        <v>5</v>
      </c>
      <c r="F187" t="str">
        <f>_xlfn.XLOOKUP(C187, customers!$A$2:$A$1001, customers!$B$2:$B$1001, , 0, 1)</f>
        <v>Angie Rizzetti</v>
      </c>
      <c r="G187" s="2" t="str">
        <f>IF(_xlfn.XLOOKUP(C187,customers!$A$2:$A$1001,customers!$C$2:$C$1001,,0,1)=0,"",_xlfn.XLOOKUP(C187,customers!$A$2:$A$1001,customers!$C$2:$C$1001,,0,1))</f>
        <v>arizzetti55@naver.com</v>
      </c>
      <c r="H187" s="2" t="str">
        <f>_xlfn.XLOOKUP(C187, customers!$A$2:$A$1001, customers!$G$2:$G$1001, , 0, 1)</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t="str">
        <f>_xlfn.XLOOKUP(C188, customers!$A$2:$A$1001, customers!$B$2:$B$1001, , 0, 1)</f>
        <v>Mord Meriet</v>
      </c>
      <c r="G188" s="2" t="str">
        <f>IF(_xlfn.XLOOKUP(C188,customers!$A$2:$A$1001,customers!$C$2:$C$1001,,0,1)=0,"",_xlfn.XLOOKUP(C188,customers!$A$2:$A$1001,customers!$C$2:$C$1001,,0,1))</f>
        <v>mmeriet56@noaa.gov</v>
      </c>
      <c r="H188" s="2" t="str">
        <f>_xlfn.XLOOKUP(C188, customers!$A$2:$A$1001, customers!$G$2:$G$1001, , 0, 1)</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t="str">
        <f>_xlfn.XLOOKUP(C189, customers!$A$2:$A$1001, customers!$B$2:$B$1001, , 0, 1)</f>
        <v>Lawrence Pratt</v>
      </c>
      <c r="G189" s="2" t="str">
        <f>IF(_xlfn.XLOOKUP(C189,customers!$A$2:$A$1001,customers!$C$2:$C$1001,,0,1)=0,"",_xlfn.XLOOKUP(C189,customers!$A$2:$A$1001,customers!$C$2:$C$1001,,0,1))</f>
        <v>lpratt57@netvibes.com</v>
      </c>
      <c r="H189" s="2" t="str">
        <f>_xlfn.XLOOKUP(C189, customers!$A$2:$A$1001, customers!$G$2:$G$1001, , 0, 1)</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t="str">
        <f>_xlfn.XLOOKUP(C190, customers!$A$2:$A$1001, customers!$B$2:$B$1001, , 0, 1)</f>
        <v>Astrix Kitchingham</v>
      </c>
      <c r="G190" s="2" t="str">
        <f>IF(_xlfn.XLOOKUP(C190,customers!$A$2:$A$1001,customers!$C$2:$C$1001,,0,1)=0,"",_xlfn.XLOOKUP(C190,customers!$A$2:$A$1001,customers!$C$2:$C$1001,,0,1))</f>
        <v>akitchingham58@com.com</v>
      </c>
      <c r="H190" s="2" t="str">
        <f>_xlfn.XLOOKUP(C190, customers!$A$2:$A$1001, customers!$G$2:$G$1001, , 0, 1)</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Large</v>
      </c>
      <c r="P190" t="str">
        <f>_xlfn.XLOOKUP(Orders[[#This Row],[Customer ID]],customers!$A$1:$A$1001,customers!$I$1:$I$1001,"",0)</f>
        <v>Yes</v>
      </c>
    </row>
    <row r="191" spans="1:16" x14ac:dyDescent="0.3">
      <c r="A191" s="2" t="s">
        <v>1555</v>
      </c>
      <c r="B191" s="3">
        <v>43813</v>
      </c>
      <c r="C191" s="2" t="s">
        <v>1556</v>
      </c>
      <c r="D191" t="s">
        <v>6162</v>
      </c>
      <c r="E191" s="2">
        <v>3</v>
      </c>
      <c r="F191" t="str">
        <f>_xlfn.XLOOKUP(C191, customers!$A$2:$A$1001, customers!$B$2:$B$1001, , 0, 1)</f>
        <v>Burnard Bartholin</v>
      </c>
      <c r="G191" s="2" t="str">
        <f>IF(_xlfn.XLOOKUP(C191,customers!$A$2:$A$1001,customers!$C$2:$C$1001,,0,1)=0,"",_xlfn.XLOOKUP(C191,customers!$A$2:$A$1001,customers!$C$2:$C$1001,,0,1))</f>
        <v>bbartholin59@xinhuanet.com</v>
      </c>
      <c r="H191" s="2" t="str">
        <f>_xlfn.XLOOKUP(C191, customers!$A$2:$A$1001, customers!$G$2:$G$1001, , 0, 1)</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t="str">
        <f>_xlfn.XLOOKUP(C192, customers!$A$2:$A$1001, customers!$B$2:$B$1001, , 0, 1)</f>
        <v>Madelene Prinn</v>
      </c>
      <c r="G192" s="2" t="str">
        <f>IF(_xlfn.XLOOKUP(C192,customers!$A$2:$A$1001,customers!$C$2:$C$1001,,0,1)=0,"",_xlfn.XLOOKUP(C192,customers!$A$2:$A$1001,customers!$C$2:$C$1001,,0,1))</f>
        <v>mprinn5a@usa.gov</v>
      </c>
      <c r="H192" s="2" t="str">
        <f>_xlfn.XLOOKUP(C192, customers!$A$2:$A$1001, customers!$G$2:$G$1001, , 0, 1)</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t="str">
        <f>_xlfn.XLOOKUP(C193, customers!$A$2:$A$1001, customers!$B$2:$B$1001, , 0, 1)</f>
        <v>Alisun Baudino</v>
      </c>
      <c r="G193" s="2" t="str">
        <f>IF(_xlfn.XLOOKUP(C193,customers!$A$2:$A$1001,customers!$C$2:$C$1001,,0,1)=0,"",_xlfn.XLOOKUP(C193,customers!$A$2:$A$1001,customers!$C$2:$C$1001,,0,1))</f>
        <v>abaudino5b@netvibes.com</v>
      </c>
      <c r="H193" s="2" t="str">
        <f>_xlfn.XLOOKUP(C193, customers!$A$2:$A$1001, customers!$G$2:$G$1001, , 0, 1)</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t="str">
        <f>_xlfn.XLOOKUP(C194, customers!$A$2:$A$1001, customers!$B$2:$B$1001, , 0, 1)</f>
        <v>Philipa Petrushanko</v>
      </c>
      <c r="G194" s="2" t="str">
        <f>IF(_xlfn.XLOOKUP(C194,customers!$A$2:$A$1001,customers!$C$2:$C$1001,,0,1)=0,"",_xlfn.XLOOKUP(C194,customers!$A$2:$A$1001,customers!$C$2:$C$1001,,0,1))</f>
        <v>ppetrushanko5c@blinklist.com</v>
      </c>
      <c r="H194" s="2" t="str">
        <f>_xlfn.XLOOKUP(C194, customers!$A$2:$A$1001, customers!$G$2:$G$1001, , 0, 1)</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t="str">
        <f>_xlfn.XLOOKUP(C195, customers!$A$2:$A$1001, customers!$B$2:$B$1001, , 0, 1)</f>
        <v>Kimberli Mustchin</v>
      </c>
      <c r="G195" s="2" t="str">
        <f>IF(_xlfn.XLOOKUP(C195,customers!$A$2:$A$1001,customers!$C$2:$C$1001,,0,1)=0,"",_xlfn.XLOOKUP(C195,customers!$A$2:$A$1001,customers!$C$2:$C$1001,,0,1))</f>
        <v/>
      </c>
      <c r="H195" s="2" t="str">
        <f>_xlfn.XLOOKUP(C195, customers!$A$2:$A$1001, customers!$G$2:$G$1001, , 0, 1)</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IF(J195="M","Medium",IF(J195="L","Large",IF(J195="D","Dark","")))</f>
        <v>Large</v>
      </c>
      <c r="P195" t="str">
        <f>_xlfn.XLOOKUP(Orders[[#This Row],[Customer ID]],customers!$A$1:$A$1001,customers!$I$1:$I$1001,"",0)</f>
        <v>No</v>
      </c>
    </row>
    <row r="196" spans="1:16" x14ac:dyDescent="0.3">
      <c r="A196" s="2" t="s">
        <v>1584</v>
      </c>
      <c r="B196" s="3">
        <v>44398</v>
      </c>
      <c r="C196" s="2" t="s">
        <v>1585</v>
      </c>
      <c r="D196" t="s">
        <v>6144</v>
      </c>
      <c r="E196" s="2">
        <v>5</v>
      </c>
      <c r="F196" t="str">
        <f>_xlfn.XLOOKUP(C196, customers!$A$2:$A$1001, customers!$B$2:$B$1001, , 0, 1)</f>
        <v>Emlynne Laird</v>
      </c>
      <c r="G196" s="2" t="str">
        <f>IF(_xlfn.XLOOKUP(C196,customers!$A$2:$A$1001,customers!$C$2:$C$1001,,0,1)=0,"",_xlfn.XLOOKUP(C196,customers!$A$2:$A$1001,customers!$C$2:$C$1001,,0,1))</f>
        <v>elaird5e@bing.com</v>
      </c>
      <c r="H196" s="2" t="str">
        <f>_xlfn.XLOOKUP(C196, customers!$A$2:$A$1001, customers!$G$2:$G$1001, , 0, 1)</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t="str">
        <f>_xlfn.XLOOKUP(C197, customers!$A$2:$A$1001, customers!$B$2:$B$1001, , 0, 1)</f>
        <v>Marlena Howsden</v>
      </c>
      <c r="G197" s="2" t="str">
        <f>IF(_xlfn.XLOOKUP(C197,customers!$A$2:$A$1001,customers!$C$2:$C$1001,,0,1)=0,"",_xlfn.XLOOKUP(C197,customers!$A$2:$A$1001,customers!$C$2:$C$1001,,0,1))</f>
        <v>mhowsden5f@infoseek.co.jp</v>
      </c>
      <c r="H197" s="2" t="str">
        <f>_xlfn.XLOOKUP(C197, customers!$A$2:$A$1001, customers!$G$2:$G$1001, , 0, 1)</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Large</v>
      </c>
      <c r="P197" t="str">
        <f>_xlfn.XLOOKUP(Orders[[#This Row],[Customer ID]],customers!$A$1:$A$1001,customers!$I$1:$I$1001,"",0)</f>
        <v>No</v>
      </c>
    </row>
    <row r="198" spans="1:16" x14ac:dyDescent="0.3">
      <c r="A198" s="2" t="s">
        <v>1596</v>
      </c>
      <c r="B198" s="3">
        <v>44339</v>
      </c>
      <c r="C198" s="2" t="s">
        <v>1597</v>
      </c>
      <c r="D198" t="s">
        <v>6176</v>
      </c>
      <c r="E198" s="2">
        <v>6</v>
      </c>
      <c r="F198" t="str">
        <f>_xlfn.XLOOKUP(C198, customers!$A$2:$A$1001, customers!$B$2:$B$1001, , 0, 1)</f>
        <v>Nealson Cuttler</v>
      </c>
      <c r="G198" s="2" t="str">
        <f>IF(_xlfn.XLOOKUP(C198,customers!$A$2:$A$1001,customers!$C$2:$C$1001,,0,1)=0,"",_xlfn.XLOOKUP(C198,customers!$A$2:$A$1001,customers!$C$2:$C$1001,,0,1))</f>
        <v>ncuttler5g@parallels.com</v>
      </c>
      <c r="H198" s="2" t="str">
        <f>_xlfn.XLOOKUP(C198, customers!$A$2:$A$1001, customers!$G$2:$G$1001, , 0, 1)</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Large</v>
      </c>
      <c r="P198" t="str">
        <f>_xlfn.XLOOKUP(Orders[[#This Row],[Customer ID]],customers!$A$1:$A$1001,customers!$I$1:$I$1001,"",0)</f>
        <v>No</v>
      </c>
    </row>
    <row r="199" spans="1:16" x14ac:dyDescent="0.3">
      <c r="A199" s="2" t="s">
        <v>1596</v>
      </c>
      <c r="B199" s="3">
        <v>44339</v>
      </c>
      <c r="C199" s="2" t="s">
        <v>1597</v>
      </c>
      <c r="D199" t="s">
        <v>6165</v>
      </c>
      <c r="E199" s="2">
        <v>2</v>
      </c>
      <c r="F199" t="str">
        <f>_xlfn.XLOOKUP(C199, customers!$A$2:$A$1001, customers!$B$2:$B$1001, , 0, 1)</f>
        <v>Nealson Cuttler</v>
      </c>
      <c r="G199" s="2" t="str">
        <f>IF(_xlfn.XLOOKUP(C199,customers!$A$2:$A$1001,customers!$C$2:$C$1001,,0,1)=0,"",_xlfn.XLOOKUP(C199,customers!$A$2:$A$1001,customers!$C$2:$C$1001,,0,1))</f>
        <v>ncuttler5g@parallels.com</v>
      </c>
      <c r="H199" s="2" t="str">
        <f>_xlfn.XLOOKUP(C199, customers!$A$2:$A$1001, customers!$G$2:$G$1001, , 0, 1)</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t="str">
        <f>_xlfn.XLOOKUP(C200, customers!$A$2:$A$1001, customers!$B$2:$B$1001, , 0, 1)</f>
        <v>Nealson Cuttler</v>
      </c>
      <c r="G200" s="2" t="str">
        <f>IF(_xlfn.XLOOKUP(C200,customers!$A$2:$A$1001,customers!$C$2:$C$1001,,0,1)=0,"",_xlfn.XLOOKUP(C200,customers!$A$2:$A$1001,customers!$C$2:$C$1001,,0,1))</f>
        <v>ncuttler5g@parallels.com</v>
      </c>
      <c r="H200" s="2" t="str">
        <f>_xlfn.XLOOKUP(C200, customers!$A$2:$A$1001, customers!$G$2:$G$1001, , 0, 1)</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t="str">
        <f>_xlfn.XLOOKUP(C201, customers!$A$2:$A$1001, customers!$B$2:$B$1001, , 0, 1)</f>
        <v>Nealson Cuttler</v>
      </c>
      <c r="G201" s="2" t="str">
        <f>IF(_xlfn.XLOOKUP(C201,customers!$A$2:$A$1001,customers!$C$2:$C$1001,,0,1)=0,"",_xlfn.XLOOKUP(C201,customers!$A$2:$A$1001,customers!$C$2:$C$1001,,0,1))</f>
        <v>ncuttler5g@parallels.com</v>
      </c>
      <c r="H201" s="2" t="str">
        <f>_xlfn.XLOOKUP(C201, customers!$A$2:$A$1001, customers!$G$2:$G$1001, , 0, 1)</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Large</v>
      </c>
      <c r="P201" t="str">
        <f>_xlfn.XLOOKUP(Orders[[#This Row],[Customer ID]],customers!$A$1:$A$1001,customers!$I$1:$I$1001,"",0)</f>
        <v>No</v>
      </c>
    </row>
    <row r="202" spans="1:16" x14ac:dyDescent="0.3">
      <c r="A202" s="2" t="s">
        <v>1596</v>
      </c>
      <c r="B202" s="3">
        <v>44339</v>
      </c>
      <c r="C202" s="2" t="s">
        <v>1597</v>
      </c>
      <c r="D202" t="s">
        <v>6141</v>
      </c>
      <c r="E202" s="2">
        <v>3</v>
      </c>
      <c r="F202" t="str">
        <f>_xlfn.XLOOKUP(C202, customers!$A$2:$A$1001, customers!$B$2:$B$1001, , 0, 1)</f>
        <v>Nealson Cuttler</v>
      </c>
      <c r="G202" s="2" t="str">
        <f>IF(_xlfn.XLOOKUP(C202,customers!$A$2:$A$1001,customers!$C$2:$C$1001,,0,1)=0,"",_xlfn.XLOOKUP(C202,customers!$A$2:$A$1001,customers!$C$2:$C$1001,,0,1))</f>
        <v>ncuttler5g@parallels.com</v>
      </c>
      <c r="H202" s="2" t="str">
        <f>_xlfn.XLOOKUP(C202, customers!$A$2:$A$1001, customers!$G$2:$G$1001, , 0, 1)</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t="str">
        <f>_xlfn.XLOOKUP(C203, customers!$A$2:$A$1001, customers!$B$2:$B$1001, , 0, 1)</f>
        <v>Adriana Lazarus</v>
      </c>
      <c r="G203" s="2" t="str">
        <f>IF(_xlfn.XLOOKUP(C203,customers!$A$2:$A$1001,customers!$C$2:$C$1001,,0,1)=0,"",_xlfn.XLOOKUP(C203,customers!$A$2:$A$1001,customers!$C$2:$C$1001,,0,1))</f>
        <v/>
      </c>
      <c r="H203" s="2" t="str">
        <f>_xlfn.XLOOKUP(C203, customers!$A$2:$A$1001, customers!$G$2:$G$1001, , 0, 1)</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Large</v>
      </c>
      <c r="P203" t="str">
        <f>_xlfn.XLOOKUP(Orders[[#This Row],[Customer ID]],customers!$A$1:$A$1001,customers!$I$1:$I$1001,"",0)</f>
        <v>No</v>
      </c>
    </row>
    <row r="204" spans="1:16" x14ac:dyDescent="0.3">
      <c r="A204" s="2" t="s">
        <v>1626</v>
      </c>
      <c r="B204" s="3">
        <v>44486</v>
      </c>
      <c r="C204" s="2" t="s">
        <v>1627</v>
      </c>
      <c r="D204" t="s">
        <v>6165</v>
      </c>
      <c r="E204" s="2">
        <v>6</v>
      </c>
      <c r="F204" t="str">
        <f>_xlfn.XLOOKUP(C204, customers!$A$2:$A$1001, customers!$B$2:$B$1001, , 0, 1)</f>
        <v>Tallie felip</v>
      </c>
      <c r="G204" s="2" t="str">
        <f>IF(_xlfn.XLOOKUP(C204,customers!$A$2:$A$1001,customers!$C$2:$C$1001,,0,1)=0,"",_xlfn.XLOOKUP(C204,customers!$A$2:$A$1001,customers!$C$2:$C$1001,,0,1))</f>
        <v>tfelip5m@typepad.com</v>
      </c>
      <c r="H204" s="2" t="str">
        <f>_xlfn.XLOOKUP(C204, customers!$A$2:$A$1001, customers!$G$2:$G$1001, , 0, 1)</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t="str">
        <f>_xlfn.XLOOKUP(C205, customers!$A$2:$A$1001, customers!$B$2:$B$1001, , 0, 1)</f>
        <v>Vanna Le - Count</v>
      </c>
      <c r="G205" s="2" t="str">
        <f>IF(_xlfn.XLOOKUP(C205,customers!$A$2:$A$1001,customers!$C$2:$C$1001,,0,1)=0,"",_xlfn.XLOOKUP(C205,customers!$A$2:$A$1001,customers!$C$2:$C$1001,,0,1))</f>
        <v>vle5n@disqus.com</v>
      </c>
      <c r="H205" s="2" t="str">
        <f>_xlfn.XLOOKUP(C205, customers!$A$2:$A$1001, customers!$G$2:$G$1001, , 0, 1)</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Large</v>
      </c>
      <c r="P205" t="str">
        <f>_xlfn.XLOOKUP(Orders[[#This Row],[Customer ID]],customers!$A$1:$A$1001,customers!$I$1:$I$1001,"",0)</f>
        <v>No</v>
      </c>
    </row>
    <row r="206" spans="1:16" x14ac:dyDescent="0.3">
      <c r="A206" s="2" t="s">
        <v>1638</v>
      </c>
      <c r="B206" s="3">
        <v>44027</v>
      </c>
      <c r="C206" s="2" t="s">
        <v>1639</v>
      </c>
      <c r="D206" t="s">
        <v>6141</v>
      </c>
      <c r="E206" s="2">
        <v>6</v>
      </c>
      <c r="F206" t="str">
        <f>_xlfn.XLOOKUP(C206, customers!$A$2:$A$1001, customers!$B$2:$B$1001, , 0, 1)</f>
        <v>Sarette Ducarel</v>
      </c>
      <c r="G206" s="2" t="str">
        <f>IF(_xlfn.XLOOKUP(C206,customers!$A$2:$A$1001,customers!$C$2:$C$1001,,0,1)=0,"",_xlfn.XLOOKUP(C206,customers!$A$2:$A$1001,customers!$C$2:$C$1001,,0,1))</f>
        <v/>
      </c>
      <c r="H206" s="2" t="str">
        <f>_xlfn.XLOOKUP(C206, customers!$A$2:$A$1001, customers!$G$2:$G$1001, , 0, 1)</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t="str">
        <f>_xlfn.XLOOKUP(C207, customers!$A$2:$A$1001, customers!$B$2:$B$1001, , 0, 1)</f>
        <v>Kendra Glison</v>
      </c>
      <c r="G207" s="2" t="str">
        <f>IF(_xlfn.XLOOKUP(C207,customers!$A$2:$A$1001,customers!$C$2:$C$1001,,0,1)=0,"",_xlfn.XLOOKUP(C207,customers!$A$2:$A$1001,customers!$C$2:$C$1001,,0,1))</f>
        <v/>
      </c>
      <c r="H207" s="2" t="str">
        <f>_xlfn.XLOOKUP(C207, customers!$A$2:$A$1001, customers!$G$2:$G$1001, , 0, 1)</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t="str">
        <f>_xlfn.XLOOKUP(C208, customers!$A$2:$A$1001, customers!$B$2:$B$1001, , 0, 1)</f>
        <v>Nertie Poolman</v>
      </c>
      <c r="G208" s="2" t="str">
        <f>IF(_xlfn.XLOOKUP(C208,customers!$A$2:$A$1001,customers!$C$2:$C$1001,,0,1)=0,"",_xlfn.XLOOKUP(C208,customers!$A$2:$A$1001,customers!$C$2:$C$1001,,0,1))</f>
        <v>npoolman5q@howstuffworks.com</v>
      </c>
      <c r="H208" s="2" t="str">
        <f>_xlfn.XLOOKUP(C208, customers!$A$2:$A$1001, customers!$G$2:$G$1001, , 0, 1)</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t="str">
        <f>_xlfn.XLOOKUP(C209, customers!$A$2:$A$1001, customers!$B$2:$B$1001, , 0, 1)</f>
        <v>Orbadiah Duny</v>
      </c>
      <c r="G209" s="2" t="str">
        <f>IF(_xlfn.XLOOKUP(C209,customers!$A$2:$A$1001,customers!$C$2:$C$1001,,0,1)=0,"",_xlfn.XLOOKUP(C209,customers!$A$2:$A$1001,customers!$C$2:$C$1001,,0,1))</f>
        <v>oduny5r@constantcontact.com</v>
      </c>
      <c r="H209" s="2" t="str">
        <f>_xlfn.XLOOKUP(C209, customers!$A$2:$A$1001, customers!$G$2:$G$1001, , 0, 1)</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t="str">
        <f>_xlfn.XLOOKUP(C210, customers!$A$2:$A$1001, customers!$B$2:$B$1001, , 0, 1)</f>
        <v>Constance Halfhide</v>
      </c>
      <c r="G210" s="2" t="str">
        <f>IF(_xlfn.XLOOKUP(C210,customers!$A$2:$A$1001,customers!$C$2:$C$1001,,0,1)=0,"",_xlfn.XLOOKUP(C210,customers!$A$2:$A$1001,customers!$C$2:$C$1001,,0,1))</f>
        <v>chalfhide5s@google.ru</v>
      </c>
      <c r="H210" s="2" t="str">
        <f>_xlfn.XLOOKUP(C210, customers!$A$2:$A$1001, customers!$G$2:$G$1001, , 0, 1)</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t="str">
        <f>_xlfn.XLOOKUP(C211, customers!$A$2:$A$1001, customers!$B$2:$B$1001, , 0, 1)</f>
        <v>Fransisco Malecky</v>
      </c>
      <c r="G211" s="2" t="str">
        <f>IF(_xlfn.XLOOKUP(C211,customers!$A$2:$A$1001,customers!$C$2:$C$1001,,0,1)=0,"",_xlfn.XLOOKUP(C211,customers!$A$2:$A$1001,customers!$C$2:$C$1001,,0,1))</f>
        <v>fmalecky5t@list-manage.com</v>
      </c>
      <c r="H211" s="2" t="str">
        <f>_xlfn.XLOOKUP(C211, customers!$A$2:$A$1001, customers!$G$2:$G$1001, , 0, 1)</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t="str">
        <f>_xlfn.XLOOKUP(C212, customers!$A$2:$A$1001, customers!$B$2:$B$1001, , 0, 1)</f>
        <v>Anselma Attwater</v>
      </c>
      <c r="G212" s="2" t="str">
        <f>IF(_xlfn.XLOOKUP(C212,customers!$A$2:$A$1001,customers!$C$2:$C$1001,,0,1)=0,"",_xlfn.XLOOKUP(C212,customers!$A$2:$A$1001,customers!$C$2:$C$1001,,0,1))</f>
        <v>aattwater5u@wikia.com</v>
      </c>
      <c r="H212" s="2" t="str">
        <f>_xlfn.XLOOKUP(C212, customers!$A$2:$A$1001, customers!$G$2:$G$1001, , 0, 1)</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t="str">
        <f>_xlfn.XLOOKUP(C213, customers!$A$2:$A$1001, customers!$B$2:$B$1001, , 0, 1)</f>
        <v>Minette Whellans</v>
      </c>
      <c r="G213" s="2" t="str">
        <f>IF(_xlfn.XLOOKUP(C213,customers!$A$2:$A$1001,customers!$C$2:$C$1001,,0,1)=0,"",_xlfn.XLOOKUP(C213,customers!$A$2:$A$1001,customers!$C$2:$C$1001,,0,1))</f>
        <v>mwhellans5v@mapquest.com</v>
      </c>
      <c r="H213" s="2" t="str">
        <f>_xlfn.XLOOKUP(C213, customers!$A$2:$A$1001, customers!$G$2:$G$1001, , 0, 1)</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Large</v>
      </c>
      <c r="P213" t="str">
        <f>_xlfn.XLOOKUP(Orders[[#This Row],[Customer ID]],customers!$A$1:$A$1001,customers!$I$1:$I$1001,"",0)</f>
        <v>No</v>
      </c>
    </row>
    <row r="214" spans="1:16" x14ac:dyDescent="0.3">
      <c r="A214" s="2" t="s">
        <v>1682</v>
      </c>
      <c r="B214" s="3">
        <v>43921</v>
      </c>
      <c r="C214" s="2" t="s">
        <v>1683</v>
      </c>
      <c r="D214" t="s">
        <v>6153</v>
      </c>
      <c r="E214" s="2">
        <v>4</v>
      </c>
      <c r="F214" t="str">
        <f>_xlfn.XLOOKUP(C214, customers!$A$2:$A$1001, customers!$B$2:$B$1001, , 0, 1)</f>
        <v>Dael Camilletti</v>
      </c>
      <c r="G214" s="2" t="str">
        <f>IF(_xlfn.XLOOKUP(C214,customers!$A$2:$A$1001,customers!$C$2:$C$1001,,0,1)=0,"",_xlfn.XLOOKUP(C214,customers!$A$2:$A$1001,customers!$C$2:$C$1001,,0,1))</f>
        <v>dcamilletti5w@businesswire.com</v>
      </c>
      <c r="H214" s="2" t="str">
        <f>_xlfn.XLOOKUP(C214, customers!$A$2:$A$1001, customers!$G$2:$G$1001, , 0, 1)</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t="str">
        <f>_xlfn.XLOOKUP(C215, customers!$A$2:$A$1001, customers!$B$2:$B$1001, , 0, 1)</f>
        <v>Emiline Galgey</v>
      </c>
      <c r="G215" s="2" t="str">
        <f>IF(_xlfn.XLOOKUP(C215,customers!$A$2:$A$1001,customers!$C$2:$C$1001,,0,1)=0,"",_xlfn.XLOOKUP(C215,customers!$A$2:$A$1001,customers!$C$2:$C$1001,,0,1))</f>
        <v>egalgey5x@wufoo.com</v>
      </c>
      <c r="H215" s="2" t="str">
        <f>_xlfn.XLOOKUP(C215, customers!$A$2:$A$1001, customers!$G$2:$G$1001, , 0, 1)</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t="str">
        <f>_xlfn.XLOOKUP(C216, customers!$A$2:$A$1001, customers!$B$2:$B$1001, , 0, 1)</f>
        <v>Murdock Hame</v>
      </c>
      <c r="G216" s="2" t="str">
        <f>IF(_xlfn.XLOOKUP(C216,customers!$A$2:$A$1001,customers!$C$2:$C$1001,,0,1)=0,"",_xlfn.XLOOKUP(C216,customers!$A$2:$A$1001,customers!$C$2:$C$1001,,0,1))</f>
        <v>mhame5y@newsvine.com</v>
      </c>
      <c r="H216" s="2" t="str">
        <f>_xlfn.XLOOKUP(C216, customers!$A$2:$A$1001, customers!$G$2:$G$1001, , 0, 1)</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Large</v>
      </c>
      <c r="P216" t="str">
        <f>_xlfn.XLOOKUP(Orders[[#This Row],[Customer ID]],customers!$A$1:$A$1001,customers!$I$1:$I$1001,"",0)</f>
        <v>No</v>
      </c>
    </row>
    <row r="217" spans="1:16" x14ac:dyDescent="0.3">
      <c r="A217" s="2" t="s">
        <v>1701</v>
      </c>
      <c r="B217" s="3">
        <v>43829</v>
      </c>
      <c r="C217" s="2" t="s">
        <v>1702</v>
      </c>
      <c r="D217" t="s">
        <v>6150</v>
      </c>
      <c r="E217" s="2">
        <v>6</v>
      </c>
      <c r="F217" t="str">
        <f>_xlfn.XLOOKUP(C217, customers!$A$2:$A$1001, customers!$B$2:$B$1001, , 0, 1)</f>
        <v>Ilka Gurnee</v>
      </c>
      <c r="G217" s="2" t="str">
        <f>IF(_xlfn.XLOOKUP(C217,customers!$A$2:$A$1001,customers!$C$2:$C$1001,,0,1)=0,"",_xlfn.XLOOKUP(C217,customers!$A$2:$A$1001,customers!$C$2:$C$1001,,0,1))</f>
        <v>igurnee5z@usnews.com</v>
      </c>
      <c r="H217" s="2" t="str">
        <f>_xlfn.XLOOKUP(C217, customers!$A$2:$A$1001, customers!$G$2:$G$1001, , 0, 1)</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t="str">
        <f>_xlfn.XLOOKUP(C218, customers!$A$2:$A$1001, customers!$B$2:$B$1001, , 0, 1)</f>
        <v>Alfy Snowding</v>
      </c>
      <c r="G218" s="2" t="str">
        <f>IF(_xlfn.XLOOKUP(C218,customers!$A$2:$A$1001,customers!$C$2:$C$1001,,0,1)=0,"",_xlfn.XLOOKUP(C218,customers!$A$2:$A$1001,customers!$C$2:$C$1001,,0,1))</f>
        <v>asnowding60@comsenz.com</v>
      </c>
      <c r="H218" s="2" t="str">
        <f>_xlfn.XLOOKUP(C218, customers!$A$2:$A$1001, customers!$G$2:$G$1001, , 0, 1)</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t="str">
        <f>_xlfn.XLOOKUP(C219, customers!$A$2:$A$1001, customers!$B$2:$B$1001, , 0, 1)</f>
        <v>Godfry Poinsett</v>
      </c>
      <c r="G219" s="2" t="str">
        <f>IF(_xlfn.XLOOKUP(C219,customers!$A$2:$A$1001,customers!$C$2:$C$1001,,0,1)=0,"",_xlfn.XLOOKUP(C219,customers!$A$2:$A$1001,customers!$C$2:$C$1001,,0,1))</f>
        <v>gpoinsett61@berkeley.edu</v>
      </c>
      <c r="H219" s="2" t="str">
        <f>_xlfn.XLOOKUP(C219, customers!$A$2:$A$1001, customers!$G$2:$G$1001, , 0, 1)</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Large</v>
      </c>
      <c r="P219" t="str">
        <f>_xlfn.XLOOKUP(Orders[[#This Row],[Customer ID]],customers!$A$1:$A$1001,customers!$I$1:$I$1001,"",0)</f>
        <v>No</v>
      </c>
    </row>
    <row r="220" spans="1:16" x14ac:dyDescent="0.3">
      <c r="A220" s="2" t="s">
        <v>1719</v>
      </c>
      <c r="B220" s="3">
        <v>44317</v>
      </c>
      <c r="C220" s="2" t="s">
        <v>1720</v>
      </c>
      <c r="D220" t="s">
        <v>6155</v>
      </c>
      <c r="E220" s="2">
        <v>5</v>
      </c>
      <c r="F220" t="str">
        <f>_xlfn.XLOOKUP(C220, customers!$A$2:$A$1001, customers!$B$2:$B$1001, , 0, 1)</f>
        <v>Rem Furman</v>
      </c>
      <c r="G220" s="2" t="str">
        <f>IF(_xlfn.XLOOKUP(C220,customers!$A$2:$A$1001,customers!$C$2:$C$1001,,0,1)=0,"",_xlfn.XLOOKUP(C220,customers!$A$2:$A$1001,customers!$C$2:$C$1001,,0,1))</f>
        <v>rfurman62@t.co</v>
      </c>
      <c r="H220" s="2" t="str">
        <f>_xlfn.XLOOKUP(C220, customers!$A$2:$A$1001, customers!$G$2:$G$1001, , 0, 1)</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t="str">
        <f>_xlfn.XLOOKUP(C221, customers!$A$2:$A$1001, customers!$B$2:$B$1001, , 0, 1)</f>
        <v>Charis Crosier</v>
      </c>
      <c r="G221" s="2" t="str">
        <f>IF(_xlfn.XLOOKUP(C221,customers!$A$2:$A$1001,customers!$C$2:$C$1001,,0,1)=0,"",_xlfn.XLOOKUP(C221,customers!$A$2:$A$1001,customers!$C$2:$C$1001,,0,1))</f>
        <v>ccrosier63@xrea.com</v>
      </c>
      <c r="H221" s="2" t="str">
        <f>_xlfn.XLOOKUP(C221, customers!$A$2:$A$1001, customers!$G$2:$G$1001, , 0, 1)</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Large</v>
      </c>
      <c r="P221" t="str">
        <f>_xlfn.XLOOKUP(Orders[[#This Row],[Customer ID]],customers!$A$1:$A$1001,customers!$I$1:$I$1001,"",0)</f>
        <v>No</v>
      </c>
    </row>
    <row r="222" spans="1:16" x14ac:dyDescent="0.3">
      <c r="A222" s="2" t="s">
        <v>1725</v>
      </c>
      <c r="B222" s="3">
        <v>44777</v>
      </c>
      <c r="C222" s="2" t="s">
        <v>1726</v>
      </c>
      <c r="D222" t="s">
        <v>6174</v>
      </c>
      <c r="E222" s="2">
        <v>5</v>
      </c>
      <c r="F222" t="str">
        <f>_xlfn.XLOOKUP(C222, customers!$A$2:$A$1001, customers!$B$2:$B$1001, , 0, 1)</f>
        <v>Charis Crosier</v>
      </c>
      <c r="G222" s="2" t="str">
        <f>IF(_xlfn.XLOOKUP(C222,customers!$A$2:$A$1001,customers!$C$2:$C$1001,,0,1)=0,"",_xlfn.XLOOKUP(C222,customers!$A$2:$A$1001,customers!$C$2:$C$1001,,0,1))</f>
        <v>ccrosier63@xrea.com</v>
      </c>
      <c r="H222" s="2" t="str">
        <f>_xlfn.XLOOKUP(C222, customers!$A$2:$A$1001, customers!$G$2:$G$1001, , 0, 1)</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t="str">
        <f>_xlfn.XLOOKUP(C223, customers!$A$2:$A$1001, customers!$B$2:$B$1001, , 0, 1)</f>
        <v>Lenka Rushmer</v>
      </c>
      <c r="G223" s="2" t="str">
        <f>IF(_xlfn.XLOOKUP(C223,customers!$A$2:$A$1001,customers!$C$2:$C$1001,,0,1)=0,"",_xlfn.XLOOKUP(C223,customers!$A$2:$A$1001,customers!$C$2:$C$1001,,0,1))</f>
        <v>lrushmer65@europa.eu</v>
      </c>
      <c r="H223" s="2" t="str">
        <f>_xlfn.XLOOKUP(C223, customers!$A$2:$A$1001, customers!$G$2:$G$1001, , 0, 1)</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Large</v>
      </c>
      <c r="P223" t="str">
        <f>_xlfn.XLOOKUP(Orders[[#This Row],[Customer ID]],customers!$A$1:$A$1001,customers!$I$1:$I$1001,"",0)</f>
        <v>Yes</v>
      </c>
    </row>
    <row r="224" spans="1:16" x14ac:dyDescent="0.3">
      <c r="A224" s="2" t="s">
        <v>1742</v>
      </c>
      <c r="B224" s="3">
        <v>44090</v>
      </c>
      <c r="C224" s="2" t="s">
        <v>1743</v>
      </c>
      <c r="D224" t="s">
        <v>6169</v>
      </c>
      <c r="E224" s="2">
        <v>3</v>
      </c>
      <c r="F224" t="str">
        <f>_xlfn.XLOOKUP(C224, customers!$A$2:$A$1001, customers!$B$2:$B$1001, , 0, 1)</f>
        <v>Waneta Edinborough</v>
      </c>
      <c r="G224" s="2" t="str">
        <f>IF(_xlfn.XLOOKUP(C224,customers!$A$2:$A$1001,customers!$C$2:$C$1001,,0,1)=0,"",_xlfn.XLOOKUP(C224,customers!$A$2:$A$1001,customers!$C$2:$C$1001,,0,1))</f>
        <v>wedinborough66@github.io</v>
      </c>
      <c r="H224" s="2" t="str">
        <f>_xlfn.XLOOKUP(C224, customers!$A$2:$A$1001, customers!$G$2:$G$1001, , 0, 1)</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t="str">
        <f>_xlfn.XLOOKUP(C225, customers!$A$2:$A$1001, customers!$B$2:$B$1001, , 0, 1)</f>
        <v>Bobbe Piggott</v>
      </c>
      <c r="G225" s="2" t="str">
        <f>IF(_xlfn.XLOOKUP(C225,customers!$A$2:$A$1001,customers!$C$2:$C$1001,,0,1)=0,"",_xlfn.XLOOKUP(C225,customers!$A$2:$A$1001,customers!$C$2:$C$1001,,0,1))</f>
        <v/>
      </c>
      <c r="H225" s="2" t="str">
        <f>_xlfn.XLOOKUP(C225, customers!$A$2:$A$1001, customers!$G$2:$G$1001, , 0, 1)</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Large</v>
      </c>
      <c r="P225" t="str">
        <f>_xlfn.XLOOKUP(Orders[[#This Row],[Customer ID]],customers!$A$1:$A$1001,customers!$I$1:$I$1001,"",0)</f>
        <v>Yes</v>
      </c>
    </row>
    <row r="226" spans="1:16" x14ac:dyDescent="0.3">
      <c r="A226" s="2" t="s">
        <v>1753</v>
      </c>
      <c r="B226" s="3">
        <v>43836</v>
      </c>
      <c r="C226" s="2" t="s">
        <v>1754</v>
      </c>
      <c r="D226" t="s">
        <v>6165</v>
      </c>
      <c r="E226" s="2">
        <v>4</v>
      </c>
      <c r="F226" t="str">
        <f>_xlfn.XLOOKUP(C226, customers!$A$2:$A$1001, customers!$B$2:$B$1001, , 0, 1)</f>
        <v>Ketty Bromehead</v>
      </c>
      <c r="G226" s="2" t="str">
        <f>IF(_xlfn.XLOOKUP(C226,customers!$A$2:$A$1001,customers!$C$2:$C$1001,,0,1)=0,"",_xlfn.XLOOKUP(C226,customers!$A$2:$A$1001,customers!$C$2:$C$1001,,0,1))</f>
        <v>kbromehead68@un.org</v>
      </c>
      <c r="H226" s="2" t="str">
        <f>_xlfn.XLOOKUP(C226, customers!$A$2:$A$1001, customers!$G$2:$G$1001, , 0, 1)</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t="str">
        <f>_xlfn.XLOOKUP(C227, customers!$A$2:$A$1001, customers!$B$2:$B$1001, , 0, 1)</f>
        <v>Elsbeth Westerman</v>
      </c>
      <c r="G227" s="2" t="str">
        <f>IF(_xlfn.XLOOKUP(C227,customers!$A$2:$A$1001,customers!$C$2:$C$1001,,0,1)=0,"",_xlfn.XLOOKUP(C227,customers!$A$2:$A$1001,customers!$C$2:$C$1001,,0,1))</f>
        <v>ewesterman69@si.edu</v>
      </c>
      <c r="H227" s="2" t="str">
        <f>_xlfn.XLOOKUP(C227, customers!$A$2:$A$1001, customers!$G$2:$G$1001, , 0, 1)</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Large</v>
      </c>
      <c r="P227" t="str">
        <f>_xlfn.XLOOKUP(Orders[[#This Row],[Customer ID]],customers!$A$1:$A$1001,customers!$I$1:$I$1001,"",0)</f>
        <v>No</v>
      </c>
    </row>
    <row r="228" spans="1:16" x14ac:dyDescent="0.3">
      <c r="A228" s="2" t="s">
        <v>1765</v>
      </c>
      <c r="B228" s="3">
        <v>43887</v>
      </c>
      <c r="C228" s="2" t="s">
        <v>1766</v>
      </c>
      <c r="D228" t="s">
        <v>6175</v>
      </c>
      <c r="E228" s="2">
        <v>5</v>
      </c>
      <c r="F228" t="str">
        <f>_xlfn.XLOOKUP(C228, customers!$A$2:$A$1001, customers!$B$2:$B$1001, , 0, 1)</f>
        <v>Anabelle Hutchens</v>
      </c>
      <c r="G228" s="2" t="str">
        <f>IF(_xlfn.XLOOKUP(C228,customers!$A$2:$A$1001,customers!$C$2:$C$1001,,0,1)=0,"",_xlfn.XLOOKUP(C228,customers!$A$2:$A$1001,customers!$C$2:$C$1001,,0,1))</f>
        <v>ahutchens6a@amazonaws.com</v>
      </c>
      <c r="H228" s="2" t="str">
        <f>_xlfn.XLOOKUP(C228, customers!$A$2:$A$1001, customers!$G$2:$G$1001, , 0, 1)</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t="str">
        <f>_xlfn.XLOOKUP(C229, customers!$A$2:$A$1001, customers!$B$2:$B$1001, , 0, 1)</f>
        <v>Noak Wyvill</v>
      </c>
      <c r="G229" s="2" t="str">
        <f>IF(_xlfn.XLOOKUP(C229,customers!$A$2:$A$1001,customers!$C$2:$C$1001,,0,1)=0,"",_xlfn.XLOOKUP(C229,customers!$A$2:$A$1001,customers!$C$2:$C$1001,,0,1))</f>
        <v>nwyvill6b@naver.com</v>
      </c>
      <c r="H229" s="2" t="str">
        <f>_xlfn.XLOOKUP(C229, customers!$A$2:$A$1001, customers!$G$2:$G$1001, , 0, 1)</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t="str">
        <f>_xlfn.XLOOKUP(C230, customers!$A$2:$A$1001, customers!$B$2:$B$1001, , 0, 1)</f>
        <v>Beltran Mathon</v>
      </c>
      <c r="G230" s="2" t="str">
        <f>IF(_xlfn.XLOOKUP(C230,customers!$A$2:$A$1001,customers!$C$2:$C$1001,,0,1)=0,"",_xlfn.XLOOKUP(C230,customers!$A$2:$A$1001,customers!$C$2:$C$1001,,0,1))</f>
        <v>bmathon6c@barnesandnoble.com</v>
      </c>
      <c r="H230" s="2" t="str">
        <f>_xlfn.XLOOKUP(C230, customers!$A$2:$A$1001, customers!$G$2:$G$1001, , 0, 1)</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Large</v>
      </c>
      <c r="P230" t="str">
        <f>_xlfn.XLOOKUP(Orders[[#This Row],[Customer ID]],customers!$A$1:$A$1001,customers!$I$1:$I$1001,"",0)</f>
        <v>No</v>
      </c>
    </row>
    <row r="231" spans="1:16" x14ac:dyDescent="0.3">
      <c r="A231" s="2" t="s">
        <v>1783</v>
      </c>
      <c r="B231" s="3">
        <v>44282</v>
      </c>
      <c r="C231" s="2" t="s">
        <v>1784</v>
      </c>
      <c r="D231" t="s">
        <v>6159</v>
      </c>
      <c r="E231" s="2">
        <v>2</v>
      </c>
      <c r="F231" t="str">
        <f>_xlfn.XLOOKUP(C231, customers!$A$2:$A$1001, customers!$B$2:$B$1001, , 0, 1)</f>
        <v>Kristos Streight</v>
      </c>
      <c r="G231" s="2" t="str">
        <f>IF(_xlfn.XLOOKUP(C231,customers!$A$2:$A$1001,customers!$C$2:$C$1001,,0,1)=0,"",_xlfn.XLOOKUP(C231,customers!$A$2:$A$1001,customers!$C$2:$C$1001,,0,1))</f>
        <v>kstreight6d@about.com</v>
      </c>
      <c r="H231" s="2" t="str">
        <f>_xlfn.XLOOKUP(C231, customers!$A$2:$A$1001, customers!$G$2:$G$1001, , 0, 1)</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t="str">
        <f>_xlfn.XLOOKUP(C232, customers!$A$2:$A$1001, customers!$B$2:$B$1001, , 0, 1)</f>
        <v>Portie Cutchie</v>
      </c>
      <c r="G232" s="2" t="str">
        <f>IF(_xlfn.XLOOKUP(C232,customers!$A$2:$A$1001,customers!$C$2:$C$1001,,0,1)=0,"",_xlfn.XLOOKUP(C232,customers!$A$2:$A$1001,customers!$C$2:$C$1001,,0,1))</f>
        <v>pcutchie6e@globo.com</v>
      </c>
      <c r="H232" s="2" t="str">
        <f>_xlfn.XLOOKUP(C232, customers!$A$2:$A$1001, customers!$G$2:$G$1001, , 0, 1)</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t="str">
        <f>_xlfn.XLOOKUP(C233, customers!$A$2:$A$1001, customers!$B$2:$B$1001, , 0, 1)</f>
        <v>Sinclare Edsell</v>
      </c>
      <c r="G233" s="2" t="str">
        <f>IF(_xlfn.XLOOKUP(C233,customers!$A$2:$A$1001,customers!$C$2:$C$1001,,0,1)=0,"",_xlfn.XLOOKUP(C233,customers!$A$2:$A$1001,customers!$C$2:$C$1001,,0,1))</f>
        <v/>
      </c>
      <c r="H233" s="2" t="str">
        <f>_xlfn.XLOOKUP(C233, customers!$A$2:$A$1001, customers!$G$2:$G$1001, , 0, 1)</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t="str">
        <f>_xlfn.XLOOKUP(C234, customers!$A$2:$A$1001, customers!$B$2:$B$1001, , 0, 1)</f>
        <v>Conny Gheraldi</v>
      </c>
      <c r="G234" s="2" t="str">
        <f>IF(_xlfn.XLOOKUP(C234,customers!$A$2:$A$1001,customers!$C$2:$C$1001,,0,1)=0,"",_xlfn.XLOOKUP(C234,customers!$A$2:$A$1001,customers!$C$2:$C$1001,,0,1))</f>
        <v>cgheraldi6g@opera.com</v>
      </c>
      <c r="H234" s="2" t="str">
        <f>_xlfn.XLOOKUP(C234, customers!$A$2:$A$1001, customers!$G$2:$G$1001, , 0, 1)</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Large</v>
      </c>
      <c r="P234" t="str">
        <f>_xlfn.XLOOKUP(Orders[[#This Row],[Customer ID]],customers!$A$1:$A$1001,customers!$I$1:$I$1001,"",0)</f>
        <v>No</v>
      </c>
    </row>
    <row r="235" spans="1:16" x14ac:dyDescent="0.3">
      <c r="A235" s="2" t="s">
        <v>1806</v>
      </c>
      <c r="B235" s="3">
        <v>44278</v>
      </c>
      <c r="C235" s="2" t="s">
        <v>1807</v>
      </c>
      <c r="D235" t="s">
        <v>6156</v>
      </c>
      <c r="E235" s="2">
        <v>5</v>
      </c>
      <c r="F235" t="str">
        <f>_xlfn.XLOOKUP(C235, customers!$A$2:$A$1001, customers!$B$2:$B$1001, , 0, 1)</f>
        <v>Beryle Kenwell</v>
      </c>
      <c r="G235" s="2" t="str">
        <f>IF(_xlfn.XLOOKUP(C235,customers!$A$2:$A$1001,customers!$C$2:$C$1001,,0,1)=0,"",_xlfn.XLOOKUP(C235,customers!$A$2:$A$1001,customers!$C$2:$C$1001,,0,1))</f>
        <v>bkenwell6h@over-blog.com</v>
      </c>
      <c r="H235" s="2" t="str">
        <f>_xlfn.XLOOKUP(C235, customers!$A$2:$A$1001, customers!$G$2:$G$1001, , 0, 1)</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t="str">
        <f>_xlfn.XLOOKUP(C236, customers!$A$2:$A$1001, customers!$B$2:$B$1001, , 0, 1)</f>
        <v>Tomas Sutty</v>
      </c>
      <c r="G236" s="2" t="str">
        <f>IF(_xlfn.XLOOKUP(C236,customers!$A$2:$A$1001,customers!$C$2:$C$1001,,0,1)=0,"",_xlfn.XLOOKUP(C236,customers!$A$2:$A$1001,customers!$C$2:$C$1001,,0,1))</f>
        <v>tsutty6i@google.es</v>
      </c>
      <c r="H236" s="2" t="str">
        <f>_xlfn.XLOOKUP(C236, customers!$A$2:$A$1001, customers!$G$2:$G$1001, , 0, 1)</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Large</v>
      </c>
      <c r="P236" t="str">
        <f>_xlfn.XLOOKUP(Orders[[#This Row],[Customer ID]],customers!$A$1:$A$1001,customers!$I$1:$I$1001,"",0)</f>
        <v>No</v>
      </c>
    </row>
    <row r="237" spans="1:16" x14ac:dyDescent="0.3">
      <c r="A237" s="2" t="s">
        <v>1818</v>
      </c>
      <c r="B237" s="3">
        <v>43571</v>
      </c>
      <c r="C237" s="2" t="s">
        <v>1819</v>
      </c>
      <c r="D237" t="s">
        <v>6164</v>
      </c>
      <c r="E237" s="2">
        <v>5</v>
      </c>
      <c r="F237" t="str">
        <f>_xlfn.XLOOKUP(C237, customers!$A$2:$A$1001, customers!$B$2:$B$1001, , 0, 1)</f>
        <v>Samuele Ales0</v>
      </c>
      <c r="G237" s="2" t="str">
        <f>IF(_xlfn.XLOOKUP(C237,customers!$A$2:$A$1001,customers!$C$2:$C$1001,,0,1)=0,"",_xlfn.XLOOKUP(C237,customers!$A$2:$A$1001,customers!$C$2:$C$1001,,0,1))</f>
        <v/>
      </c>
      <c r="H237" s="2" t="str">
        <f>_xlfn.XLOOKUP(C237, customers!$A$2:$A$1001, customers!$G$2:$G$1001, , 0, 1)</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Large</v>
      </c>
      <c r="P237" t="str">
        <f>_xlfn.XLOOKUP(Orders[[#This Row],[Customer ID]],customers!$A$1:$A$1001,customers!$I$1:$I$1001,"",0)</f>
        <v>No</v>
      </c>
    </row>
    <row r="238" spans="1:16" x14ac:dyDescent="0.3">
      <c r="A238" s="2" t="s">
        <v>1822</v>
      </c>
      <c r="B238" s="3">
        <v>43873</v>
      </c>
      <c r="C238" s="2" t="s">
        <v>1823</v>
      </c>
      <c r="D238" t="s">
        <v>6165</v>
      </c>
      <c r="E238" s="2">
        <v>3</v>
      </c>
      <c r="F238" t="str">
        <f>_xlfn.XLOOKUP(C238, customers!$A$2:$A$1001, customers!$B$2:$B$1001, , 0, 1)</f>
        <v>Carlie Harce</v>
      </c>
      <c r="G238" s="2" t="str">
        <f>IF(_xlfn.XLOOKUP(C238,customers!$A$2:$A$1001,customers!$C$2:$C$1001,,0,1)=0,"",_xlfn.XLOOKUP(C238,customers!$A$2:$A$1001,customers!$C$2:$C$1001,,0,1))</f>
        <v>charce6k@cafepress.com</v>
      </c>
      <c r="H238" s="2" t="str">
        <f>_xlfn.XLOOKUP(C238, customers!$A$2:$A$1001, customers!$G$2:$G$1001, , 0, 1)</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t="str">
        <f>_xlfn.XLOOKUP(C239, customers!$A$2:$A$1001, customers!$B$2:$B$1001, , 0, 1)</f>
        <v>Craggy Bril</v>
      </c>
      <c r="G239" s="2" t="str">
        <f>IF(_xlfn.XLOOKUP(C239,customers!$A$2:$A$1001,customers!$C$2:$C$1001,,0,1)=0,"",_xlfn.XLOOKUP(C239,customers!$A$2:$A$1001,customers!$C$2:$C$1001,,0,1))</f>
        <v/>
      </c>
      <c r="H239" s="2" t="str">
        <f>_xlfn.XLOOKUP(C239, customers!$A$2:$A$1001, customers!$G$2:$G$1001, , 0, 1)</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Large</v>
      </c>
      <c r="P239" t="str">
        <f>_xlfn.XLOOKUP(Orders[[#This Row],[Customer ID]],customers!$A$1:$A$1001,customers!$I$1:$I$1001,"",0)</f>
        <v>Yes</v>
      </c>
    </row>
    <row r="240" spans="1:16" x14ac:dyDescent="0.3">
      <c r="A240" s="2" t="s">
        <v>1833</v>
      </c>
      <c r="B240" s="3">
        <v>44172</v>
      </c>
      <c r="C240" s="2" t="s">
        <v>1834</v>
      </c>
      <c r="D240" t="s">
        <v>6151</v>
      </c>
      <c r="E240" s="2">
        <v>2</v>
      </c>
      <c r="F240" t="str">
        <f>_xlfn.XLOOKUP(C240, customers!$A$2:$A$1001, customers!$B$2:$B$1001, , 0, 1)</f>
        <v>Friederike Drysdale</v>
      </c>
      <c r="G240" s="2" t="str">
        <f>IF(_xlfn.XLOOKUP(C240,customers!$A$2:$A$1001,customers!$C$2:$C$1001,,0,1)=0,"",_xlfn.XLOOKUP(C240,customers!$A$2:$A$1001,customers!$C$2:$C$1001,,0,1))</f>
        <v>fdrysdale6m@symantec.com</v>
      </c>
      <c r="H240" s="2" t="str">
        <f>_xlfn.XLOOKUP(C240, customers!$A$2:$A$1001, customers!$G$2:$G$1001, , 0, 1)</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t="str">
        <f>_xlfn.XLOOKUP(C241, customers!$A$2:$A$1001, customers!$B$2:$B$1001, , 0, 1)</f>
        <v>Devon Magowan</v>
      </c>
      <c r="G241" s="2" t="str">
        <f>IF(_xlfn.XLOOKUP(C241,customers!$A$2:$A$1001,customers!$C$2:$C$1001,,0,1)=0,"",_xlfn.XLOOKUP(C241,customers!$A$2:$A$1001,customers!$C$2:$C$1001,,0,1))</f>
        <v>dmagowan6n@fc2.com</v>
      </c>
      <c r="H241" s="2" t="str">
        <f>_xlfn.XLOOKUP(C241, customers!$A$2:$A$1001, customers!$G$2:$G$1001, , 0, 1)</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Large</v>
      </c>
      <c r="P241" t="str">
        <f>_xlfn.XLOOKUP(Orders[[#This Row],[Customer ID]],customers!$A$1:$A$1001,customers!$I$1:$I$1001,"",0)</f>
        <v>No</v>
      </c>
    </row>
    <row r="242" spans="1:16" x14ac:dyDescent="0.3">
      <c r="A242" s="2" t="s">
        <v>1845</v>
      </c>
      <c r="B242" s="3">
        <v>43993</v>
      </c>
      <c r="C242" s="2" t="s">
        <v>1846</v>
      </c>
      <c r="D242" t="s">
        <v>6175</v>
      </c>
      <c r="E242" s="2">
        <v>6</v>
      </c>
      <c r="F242" t="str">
        <f>_xlfn.XLOOKUP(C242, customers!$A$2:$A$1001, customers!$B$2:$B$1001, , 0, 1)</f>
        <v>Codi Littrell</v>
      </c>
      <c r="G242" s="2" t="str">
        <f>IF(_xlfn.XLOOKUP(C242,customers!$A$2:$A$1001,customers!$C$2:$C$1001,,0,1)=0,"",_xlfn.XLOOKUP(C242,customers!$A$2:$A$1001,customers!$C$2:$C$1001,,0,1))</f>
        <v/>
      </c>
      <c r="H242" s="2" t="str">
        <f>_xlfn.XLOOKUP(C242, customers!$A$2:$A$1001, customers!$G$2:$G$1001, , 0, 1)</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t="str">
        <f>_xlfn.XLOOKUP(C243, customers!$A$2:$A$1001, customers!$B$2:$B$1001, , 0, 1)</f>
        <v>Christel Speak</v>
      </c>
      <c r="G243" s="2" t="str">
        <f>IF(_xlfn.XLOOKUP(C243,customers!$A$2:$A$1001,customers!$C$2:$C$1001,,0,1)=0,"",_xlfn.XLOOKUP(C243,customers!$A$2:$A$1001,customers!$C$2:$C$1001,,0,1))</f>
        <v/>
      </c>
      <c r="H243" s="2" t="str">
        <f>_xlfn.XLOOKUP(C243, customers!$A$2:$A$1001, customers!$G$2:$G$1001, , 0, 1)</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t="str">
        <f>_xlfn.XLOOKUP(C244, customers!$A$2:$A$1001, customers!$B$2:$B$1001, , 0, 1)</f>
        <v>Sibella Rushbrooke</v>
      </c>
      <c r="G244" s="2" t="str">
        <f>IF(_xlfn.XLOOKUP(C244,customers!$A$2:$A$1001,customers!$C$2:$C$1001,,0,1)=0,"",_xlfn.XLOOKUP(C244,customers!$A$2:$A$1001,customers!$C$2:$C$1001,,0,1))</f>
        <v>srushbrooke6q@youku.com</v>
      </c>
      <c r="H244" s="2" t="str">
        <f>_xlfn.XLOOKUP(C244, customers!$A$2:$A$1001, customers!$G$2:$G$1001, , 0, 1)</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t="str">
        <f>_xlfn.XLOOKUP(C245, customers!$A$2:$A$1001, customers!$B$2:$B$1001, , 0, 1)</f>
        <v>Tammie Drynan</v>
      </c>
      <c r="G245" s="2" t="str">
        <f>IF(_xlfn.XLOOKUP(C245,customers!$A$2:$A$1001,customers!$C$2:$C$1001,,0,1)=0,"",_xlfn.XLOOKUP(C245,customers!$A$2:$A$1001,customers!$C$2:$C$1001,,0,1))</f>
        <v>tdrynan6r@deviantart.com</v>
      </c>
      <c r="H245" s="2" t="str">
        <f>_xlfn.XLOOKUP(C245, customers!$A$2:$A$1001, customers!$G$2:$G$1001, , 0, 1)</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t="str">
        <f>_xlfn.XLOOKUP(C246, customers!$A$2:$A$1001, customers!$B$2:$B$1001, , 0, 1)</f>
        <v>Effie Yurkov</v>
      </c>
      <c r="G246" s="2" t="str">
        <f>IF(_xlfn.XLOOKUP(C246,customers!$A$2:$A$1001,customers!$C$2:$C$1001,,0,1)=0,"",_xlfn.XLOOKUP(C246,customers!$A$2:$A$1001,customers!$C$2:$C$1001,,0,1))</f>
        <v>eyurkov6s@hud.gov</v>
      </c>
      <c r="H246" s="2" t="str">
        <f>_xlfn.XLOOKUP(C246, customers!$A$2:$A$1001, customers!$G$2:$G$1001, , 0, 1)</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t="str">
        <f>_xlfn.XLOOKUP(C247, customers!$A$2:$A$1001, customers!$B$2:$B$1001, , 0, 1)</f>
        <v>Lexie Mallan</v>
      </c>
      <c r="G247" s="2" t="str">
        <f>IF(_xlfn.XLOOKUP(C247,customers!$A$2:$A$1001,customers!$C$2:$C$1001,,0,1)=0,"",_xlfn.XLOOKUP(C247,customers!$A$2:$A$1001,customers!$C$2:$C$1001,,0,1))</f>
        <v>lmallan6t@state.gov</v>
      </c>
      <c r="H247" s="2" t="str">
        <f>_xlfn.XLOOKUP(C247, customers!$A$2:$A$1001, customers!$G$2:$G$1001, , 0, 1)</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Large</v>
      </c>
      <c r="P247" t="str">
        <f>_xlfn.XLOOKUP(Orders[[#This Row],[Customer ID]],customers!$A$1:$A$1001,customers!$I$1:$I$1001,"",0)</f>
        <v>Yes</v>
      </c>
    </row>
    <row r="248" spans="1:16" x14ac:dyDescent="0.3">
      <c r="A248" s="2" t="s">
        <v>1878</v>
      </c>
      <c r="B248" s="3">
        <v>44542</v>
      </c>
      <c r="C248" s="2" t="s">
        <v>1879</v>
      </c>
      <c r="D248" t="s">
        <v>6143</v>
      </c>
      <c r="E248" s="2">
        <v>3</v>
      </c>
      <c r="F248" t="str">
        <f>_xlfn.XLOOKUP(C248, customers!$A$2:$A$1001, customers!$B$2:$B$1001, , 0, 1)</f>
        <v>Georgena Bentjens</v>
      </c>
      <c r="G248" s="2" t="str">
        <f>IF(_xlfn.XLOOKUP(C248,customers!$A$2:$A$1001,customers!$C$2:$C$1001,,0,1)=0,"",_xlfn.XLOOKUP(C248,customers!$A$2:$A$1001,customers!$C$2:$C$1001,,0,1))</f>
        <v>gbentjens6u@netlog.com</v>
      </c>
      <c r="H248" s="2" t="str">
        <f>_xlfn.XLOOKUP(C248, customers!$A$2:$A$1001, customers!$G$2:$G$1001, , 0, 1)</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t="str">
        <f>_xlfn.XLOOKUP(C249, customers!$A$2:$A$1001, customers!$B$2:$B$1001, , 0, 1)</f>
        <v>Delmar Beasant</v>
      </c>
      <c r="G249" s="2" t="str">
        <f>IF(_xlfn.XLOOKUP(C249,customers!$A$2:$A$1001,customers!$C$2:$C$1001,,0,1)=0,"",_xlfn.XLOOKUP(C249,customers!$A$2:$A$1001,customers!$C$2:$C$1001,,0,1))</f>
        <v/>
      </c>
      <c r="H249" s="2" t="str">
        <f>_xlfn.XLOOKUP(C249, customers!$A$2:$A$1001, customers!$G$2:$G$1001, , 0, 1)</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Large</v>
      </c>
      <c r="P249" t="str">
        <f>_xlfn.XLOOKUP(Orders[[#This Row],[Customer ID]],customers!$A$1:$A$1001,customers!$I$1:$I$1001,"",0)</f>
        <v>Yes</v>
      </c>
    </row>
    <row r="250" spans="1:16" x14ac:dyDescent="0.3">
      <c r="A250" s="2" t="s">
        <v>1889</v>
      </c>
      <c r="B250" s="3">
        <v>44019</v>
      </c>
      <c r="C250" s="2" t="s">
        <v>1890</v>
      </c>
      <c r="D250" t="s">
        <v>6147</v>
      </c>
      <c r="E250" s="2">
        <v>1</v>
      </c>
      <c r="F250" t="str">
        <f>_xlfn.XLOOKUP(C250, customers!$A$2:$A$1001, customers!$B$2:$B$1001, , 0, 1)</f>
        <v>Lyn Entwistle</v>
      </c>
      <c r="G250" s="2" t="str">
        <f>IF(_xlfn.XLOOKUP(C250,customers!$A$2:$A$1001,customers!$C$2:$C$1001,,0,1)=0,"",_xlfn.XLOOKUP(C250,customers!$A$2:$A$1001,customers!$C$2:$C$1001,,0,1))</f>
        <v>lentwistle6w@omniture.com</v>
      </c>
      <c r="H250" s="2" t="str">
        <f>_xlfn.XLOOKUP(C250, customers!$A$2:$A$1001, customers!$G$2:$G$1001, , 0, 1)</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t="str">
        <f>_xlfn.XLOOKUP(C251, customers!$A$2:$A$1001, customers!$B$2:$B$1001, , 0, 1)</f>
        <v>Zacharias Kiffe</v>
      </c>
      <c r="G251" s="2" t="str">
        <f>IF(_xlfn.XLOOKUP(C251,customers!$A$2:$A$1001,customers!$C$2:$C$1001,,0,1)=0,"",_xlfn.XLOOKUP(C251,customers!$A$2:$A$1001,customers!$C$2:$C$1001,,0,1))</f>
        <v>zkiffe74@cyberchimps.com</v>
      </c>
      <c r="H251" s="2" t="str">
        <f>_xlfn.XLOOKUP(C251, customers!$A$2:$A$1001, customers!$G$2:$G$1001, , 0, 1)</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Large</v>
      </c>
      <c r="P251" t="str">
        <f>_xlfn.XLOOKUP(Orders[[#This Row],[Customer ID]],customers!$A$1:$A$1001,customers!$I$1:$I$1001,"",0)</f>
        <v>Yes</v>
      </c>
    </row>
    <row r="252" spans="1:16" x14ac:dyDescent="0.3">
      <c r="A252" s="2" t="s">
        <v>1900</v>
      </c>
      <c r="B252" s="3">
        <v>43879</v>
      </c>
      <c r="C252" s="2" t="s">
        <v>1901</v>
      </c>
      <c r="D252" t="s">
        <v>6174</v>
      </c>
      <c r="E252" s="2">
        <v>1</v>
      </c>
      <c r="F252" t="str">
        <f>_xlfn.XLOOKUP(C252, customers!$A$2:$A$1001, customers!$B$2:$B$1001, , 0, 1)</f>
        <v>Mercedes Acott</v>
      </c>
      <c r="G252" s="2" t="str">
        <f>IF(_xlfn.XLOOKUP(C252,customers!$A$2:$A$1001,customers!$C$2:$C$1001,,0,1)=0,"",_xlfn.XLOOKUP(C252,customers!$A$2:$A$1001,customers!$C$2:$C$1001,,0,1))</f>
        <v>macott6y@pagesperso-orange.fr</v>
      </c>
      <c r="H252" s="2" t="str">
        <f>_xlfn.XLOOKUP(C252, customers!$A$2:$A$1001, customers!$G$2:$G$1001, , 0, 1)</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t="str">
        <f>_xlfn.XLOOKUP(C253, customers!$A$2:$A$1001, customers!$B$2:$B$1001, , 0, 1)</f>
        <v>Connor Heaviside</v>
      </c>
      <c r="G253" s="2" t="str">
        <f>IF(_xlfn.XLOOKUP(C253,customers!$A$2:$A$1001,customers!$C$2:$C$1001,,0,1)=0,"",_xlfn.XLOOKUP(C253,customers!$A$2:$A$1001,customers!$C$2:$C$1001,,0,1))</f>
        <v>cheaviside6z@rediff.com</v>
      </c>
      <c r="H253" s="2" t="str">
        <f>_xlfn.XLOOKUP(C253, customers!$A$2:$A$1001, customers!$G$2:$G$1001, , 0, 1)</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t="str">
        <f>_xlfn.XLOOKUP(C254, customers!$A$2:$A$1001, customers!$B$2:$B$1001, , 0, 1)</f>
        <v>Devy Bulbrook</v>
      </c>
      <c r="G254" s="2" t="str">
        <f>IF(_xlfn.XLOOKUP(C254,customers!$A$2:$A$1001,customers!$C$2:$C$1001,,0,1)=0,"",_xlfn.XLOOKUP(C254,customers!$A$2:$A$1001,customers!$C$2:$C$1001,,0,1))</f>
        <v/>
      </c>
      <c r="H254" s="2" t="str">
        <f>_xlfn.XLOOKUP(C254, customers!$A$2:$A$1001, customers!$G$2:$G$1001, , 0, 1)</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t="str">
        <f>_xlfn.XLOOKUP(C255, customers!$A$2:$A$1001, customers!$B$2:$B$1001, , 0, 1)</f>
        <v>Leia Kernan</v>
      </c>
      <c r="G255" s="2" t="str">
        <f>IF(_xlfn.XLOOKUP(C255,customers!$A$2:$A$1001,customers!$C$2:$C$1001,,0,1)=0,"",_xlfn.XLOOKUP(C255,customers!$A$2:$A$1001,customers!$C$2:$C$1001,,0,1))</f>
        <v>lkernan71@wsj.com</v>
      </c>
      <c r="H255" s="2" t="str">
        <f>_xlfn.XLOOKUP(C255, customers!$A$2:$A$1001, customers!$G$2:$G$1001, , 0, 1)</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t="str">
        <f>_xlfn.XLOOKUP(C256, customers!$A$2:$A$1001, customers!$B$2:$B$1001, , 0, 1)</f>
        <v>Rosaline McLae</v>
      </c>
      <c r="G256" s="2" t="str">
        <f>IF(_xlfn.XLOOKUP(C256,customers!$A$2:$A$1001,customers!$C$2:$C$1001,,0,1)=0,"",_xlfn.XLOOKUP(C256,customers!$A$2:$A$1001,customers!$C$2:$C$1001,,0,1))</f>
        <v>rmclae72@dailymotion.com</v>
      </c>
      <c r="H256" s="2" t="str">
        <f>_xlfn.XLOOKUP(C256, customers!$A$2:$A$1001, customers!$G$2:$G$1001, , 0, 1)</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Large</v>
      </c>
      <c r="P256" t="str">
        <f>_xlfn.XLOOKUP(Orders[[#This Row],[Customer ID]],customers!$A$1:$A$1001,customers!$I$1:$I$1001,"",0)</f>
        <v>No</v>
      </c>
    </row>
    <row r="257" spans="1:16" x14ac:dyDescent="0.3">
      <c r="A257" s="2" t="s">
        <v>1928</v>
      </c>
      <c r="B257" s="3">
        <v>44439</v>
      </c>
      <c r="C257" s="2" t="s">
        <v>1929</v>
      </c>
      <c r="D257" t="s">
        <v>6173</v>
      </c>
      <c r="E257" s="2">
        <v>3</v>
      </c>
      <c r="F257" t="str">
        <f>_xlfn.XLOOKUP(C257, customers!$A$2:$A$1001, customers!$B$2:$B$1001, , 0, 1)</f>
        <v>Cleve Blowfelde</v>
      </c>
      <c r="G257" s="2" t="str">
        <f>IF(_xlfn.XLOOKUP(C257,customers!$A$2:$A$1001,customers!$C$2:$C$1001,,0,1)=0,"",_xlfn.XLOOKUP(C257,customers!$A$2:$A$1001,customers!$C$2:$C$1001,,0,1))</f>
        <v>cblowfelde73@ustream.tv</v>
      </c>
      <c r="H257" s="2" t="str">
        <f>_xlfn.XLOOKUP(C257, customers!$A$2:$A$1001, customers!$G$2:$G$1001, , 0, 1)</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Large</v>
      </c>
      <c r="P257" t="str">
        <f>_xlfn.XLOOKUP(Orders[[#This Row],[Customer ID]],customers!$A$1:$A$1001,customers!$I$1:$I$1001,"",0)</f>
        <v>No</v>
      </c>
    </row>
    <row r="258" spans="1:16" x14ac:dyDescent="0.3">
      <c r="A258" s="2" t="s">
        <v>1934</v>
      </c>
      <c r="B258" s="3">
        <v>43846</v>
      </c>
      <c r="C258" s="2" t="s">
        <v>1935</v>
      </c>
      <c r="D258" t="s">
        <v>6160</v>
      </c>
      <c r="E258" s="2">
        <v>2</v>
      </c>
      <c r="F258" t="str">
        <f>_xlfn.XLOOKUP(C258, customers!$A$2:$A$1001, customers!$B$2:$B$1001, , 0, 1)</f>
        <v>Zacharias Kiffe</v>
      </c>
      <c r="G258" s="2" t="str">
        <f>IF(_xlfn.XLOOKUP(C258,customers!$A$2:$A$1001,customers!$C$2:$C$1001,,0,1)=0,"",_xlfn.XLOOKUP(C258,customers!$A$2:$A$1001,customers!$C$2:$C$1001,,0,1))</f>
        <v>zkiffe74@cyberchimps.com</v>
      </c>
      <c r="H258" s="2" t="str">
        <f>_xlfn.XLOOKUP(C258, customers!$A$2:$A$1001, customers!$G$2:$G$1001, , 0, 1)</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t="str">
        <f>_xlfn.XLOOKUP(C259, customers!$A$2:$A$1001, customers!$B$2:$B$1001, , 0, 1)</f>
        <v>Denyse O'Calleran</v>
      </c>
      <c r="G259" s="2" t="str">
        <f>IF(_xlfn.XLOOKUP(C259,customers!$A$2:$A$1001,customers!$C$2:$C$1001,,0,1)=0,"",_xlfn.XLOOKUP(C259,customers!$A$2:$A$1001,customers!$C$2:$C$1001,,0,1))</f>
        <v>docalleran75@ucla.edu</v>
      </c>
      <c r="H259" s="2" t="str">
        <f>_xlfn.XLOOKUP(C259, customers!$A$2:$A$1001, customers!$G$2:$G$1001, , 0, 1)</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IF(J259="M","Medium",IF(J259="L","Large",IF(J259="D","Dark","")))</f>
        <v>Dark</v>
      </c>
      <c r="P259" t="str">
        <f>_xlfn.XLOOKUP(Orders[[#This Row],[Customer ID]],customers!$A$1:$A$1001,customers!$I$1:$I$1001,"",0)</f>
        <v>Yes</v>
      </c>
    </row>
    <row r="260" spans="1:16" x14ac:dyDescent="0.3">
      <c r="A260" s="2" t="s">
        <v>1946</v>
      </c>
      <c r="B260" s="3">
        <v>44513</v>
      </c>
      <c r="C260" s="2" t="s">
        <v>1947</v>
      </c>
      <c r="D260" t="s">
        <v>6185</v>
      </c>
      <c r="E260" s="2">
        <v>5</v>
      </c>
      <c r="F260" t="str">
        <f>_xlfn.XLOOKUP(C260, customers!$A$2:$A$1001, customers!$B$2:$B$1001, , 0, 1)</f>
        <v>Cobby Cromwell</v>
      </c>
      <c r="G260" s="2" t="str">
        <f>IF(_xlfn.XLOOKUP(C260,customers!$A$2:$A$1001,customers!$C$2:$C$1001,,0,1)=0,"",_xlfn.XLOOKUP(C260,customers!$A$2:$A$1001,customers!$C$2:$C$1001,,0,1))</f>
        <v>ccromwell76@desdev.cn</v>
      </c>
      <c r="H260" s="2" t="str">
        <f>_xlfn.XLOOKUP(C260, customers!$A$2:$A$1001, customers!$G$2:$G$1001, , 0, 1)</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t="str">
        <f>_xlfn.XLOOKUP(C261, customers!$A$2:$A$1001, customers!$B$2:$B$1001, , 0, 1)</f>
        <v>Irv Hay</v>
      </c>
      <c r="G261" s="2" t="str">
        <f>IF(_xlfn.XLOOKUP(C261,customers!$A$2:$A$1001,customers!$C$2:$C$1001,,0,1)=0,"",_xlfn.XLOOKUP(C261,customers!$A$2:$A$1001,customers!$C$2:$C$1001,,0,1))</f>
        <v>ihay77@lulu.com</v>
      </c>
      <c r="H261" s="2" t="str">
        <f>_xlfn.XLOOKUP(C261, customers!$A$2:$A$1001, customers!$G$2:$G$1001, , 0, 1)</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t="str">
        <f>_xlfn.XLOOKUP(C262, customers!$A$2:$A$1001, customers!$B$2:$B$1001, , 0, 1)</f>
        <v>Tani Taffarello</v>
      </c>
      <c r="G262" s="2" t="str">
        <f>IF(_xlfn.XLOOKUP(C262,customers!$A$2:$A$1001,customers!$C$2:$C$1001,,0,1)=0,"",_xlfn.XLOOKUP(C262,customers!$A$2:$A$1001,customers!$C$2:$C$1001,,0,1))</f>
        <v>ttaffarello78@sciencedaily.com</v>
      </c>
      <c r="H262" s="2" t="str">
        <f>_xlfn.XLOOKUP(C262, customers!$A$2:$A$1001, customers!$G$2:$G$1001, , 0, 1)</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Large</v>
      </c>
      <c r="P262" t="str">
        <f>_xlfn.XLOOKUP(Orders[[#This Row],[Customer ID]],customers!$A$1:$A$1001,customers!$I$1:$I$1001,"",0)</f>
        <v>Yes</v>
      </c>
    </row>
    <row r="263" spans="1:16" x14ac:dyDescent="0.3">
      <c r="A263" s="2" t="s">
        <v>1963</v>
      </c>
      <c r="B263" s="3">
        <v>43538</v>
      </c>
      <c r="C263" s="2" t="s">
        <v>1964</v>
      </c>
      <c r="D263" t="s">
        <v>6179</v>
      </c>
      <c r="E263" s="2">
        <v>5</v>
      </c>
      <c r="F263" t="str">
        <f>_xlfn.XLOOKUP(C263, customers!$A$2:$A$1001, customers!$B$2:$B$1001, , 0, 1)</f>
        <v>Monique Canty</v>
      </c>
      <c r="G263" s="2" t="str">
        <f>IF(_xlfn.XLOOKUP(C263,customers!$A$2:$A$1001,customers!$C$2:$C$1001,,0,1)=0,"",_xlfn.XLOOKUP(C263,customers!$A$2:$A$1001,customers!$C$2:$C$1001,,0,1))</f>
        <v>mcanty79@jigsy.com</v>
      </c>
      <c r="H263" s="2" t="str">
        <f>_xlfn.XLOOKUP(C263, customers!$A$2:$A$1001, customers!$G$2:$G$1001, , 0, 1)</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Large</v>
      </c>
      <c r="P263" t="str">
        <f>_xlfn.XLOOKUP(Orders[[#This Row],[Customer ID]],customers!$A$1:$A$1001,customers!$I$1:$I$1001,"",0)</f>
        <v>Yes</v>
      </c>
    </row>
    <row r="264" spans="1:16" x14ac:dyDescent="0.3">
      <c r="A264" s="2" t="s">
        <v>1969</v>
      </c>
      <c r="B264" s="3">
        <v>43693</v>
      </c>
      <c r="C264" s="2" t="s">
        <v>1970</v>
      </c>
      <c r="D264" t="s">
        <v>6141</v>
      </c>
      <c r="E264" s="2">
        <v>3</v>
      </c>
      <c r="F264" t="str">
        <f>_xlfn.XLOOKUP(C264, customers!$A$2:$A$1001, customers!$B$2:$B$1001, , 0, 1)</f>
        <v>Javier Kopke</v>
      </c>
      <c r="G264" s="2" t="str">
        <f>IF(_xlfn.XLOOKUP(C264,customers!$A$2:$A$1001,customers!$C$2:$C$1001,,0,1)=0,"",_xlfn.XLOOKUP(C264,customers!$A$2:$A$1001,customers!$C$2:$C$1001,,0,1))</f>
        <v>jkopke7a@auda.org.au</v>
      </c>
      <c r="H264" s="2" t="str">
        <f>_xlfn.XLOOKUP(C264, customers!$A$2:$A$1001, customers!$G$2:$G$1001, , 0, 1)</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t="str">
        <f>_xlfn.XLOOKUP(C265, customers!$A$2:$A$1001, customers!$B$2:$B$1001, , 0, 1)</f>
        <v>Mar McIver</v>
      </c>
      <c r="G265" s="2" t="str">
        <f>IF(_xlfn.XLOOKUP(C265,customers!$A$2:$A$1001,customers!$C$2:$C$1001,,0,1)=0,"",_xlfn.XLOOKUP(C265,customers!$A$2:$A$1001,customers!$C$2:$C$1001,,0,1))</f>
        <v/>
      </c>
      <c r="H265" s="2" t="str">
        <f>_xlfn.XLOOKUP(C265, customers!$A$2:$A$1001, customers!$G$2:$G$1001, , 0, 1)</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t="str">
        <f>_xlfn.XLOOKUP(C266, customers!$A$2:$A$1001, customers!$B$2:$B$1001, , 0, 1)</f>
        <v>Arabella Fransewich</v>
      </c>
      <c r="G266" s="2" t="str">
        <f>IF(_xlfn.XLOOKUP(C266,customers!$A$2:$A$1001,customers!$C$2:$C$1001,,0,1)=0,"",_xlfn.XLOOKUP(C266,customers!$A$2:$A$1001,customers!$C$2:$C$1001,,0,1))</f>
        <v/>
      </c>
      <c r="H266" s="2" t="str">
        <f>_xlfn.XLOOKUP(C266, customers!$A$2:$A$1001, customers!$G$2:$G$1001, , 0, 1)</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Large</v>
      </c>
      <c r="P266" t="str">
        <f>_xlfn.XLOOKUP(Orders[[#This Row],[Customer ID]],customers!$A$1:$A$1001,customers!$I$1:$I$1001,"",0)</f>
        <v>Yes</v>
      </c>
    </row>
    <row r="267" spans="1:16" x14ac:dyDescent="0.3">
      <c r="A267" s="2" t="s">
        <v>1986</v>
      </c>
      <c r="B267" s="3">
        <v>43872</v>
      </c>
      <c r="C267" s="2" t="s">
        <v>1987</v>
      </c>
      <c r="D267" t="s">
        <v>6158</v>
      </c>
      <c r="E267" s="2">
        <v>1</v>
      </c>
      <c r="F267" t="str">
        <f>_xlfn.XLOOKUP(C267, customers!$A$2:$A$1001, customers!$B$2:$B$1001, , 0, 1)</f>
        <v>Violette Hellmore</v>
      </c>
      <c r="G267" s="2" t="str">
        <f>IF(_xlfn.XLOOKUP(C267,customers!$A$2:$A$1001,customers!$C$2:$C$1001,,0,1)=0,"",_xlfn.XLOOKUP(C267,customers!$A$2:$A$1001,customers!$C$2:$C$1001,,0,1))</f>
        <v>vhellmore7d@bbc.co.uk</v>
      </c>
      <c r="H267" s="2" t="str">
        <f>_xlfn.XLOOKUP(C267, customers!$A$2:$A$1001, customers!$G$2:$G$1001, , 0, 1)</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t="str">
        <f>_xlfn.XLOOKUP(C268, customers!$A$2:$A$1001, customers!$B$2:$B$1001, , 0, 1)</f>
        <v>Myles Seawright</v>
      </c>
      <c r="G268" s="2" t="str">
        <f>IF(_xlfn.XLOOKUP(C268,customers!$A$2:$A$1001,customers!$C$2:$C$1001,,0,1)=0,"",_xlfn.XLOOKUP(C268,customers!$A$2:$A$1001,customers!$C$2:$C$1001,,0,1))</f>
        <v>mseawright7e@nbcnews.com</v>
      </c>
      <c r="H268" s="2" t="str">
        <f>_xlfn.XLOOKUP(C268, customers!$A$2:$A$1001, customers!$G$2:$G$1001, , 0, 1)</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t="str">
        <f>_xlfn.XLOOKUP(C269, customers!$A$2:$A$1001, customers!$B$2:$B$1001, , 0, 1)</f>
        <v>Silvana Northeast</v>
      </c>
      <c r="G269" s="2" t="str">
        <f>IF(_xlfn.XLOOKUP(C269,customers!$A$2:$A$1001,customers!$C$2:$C$1001,,0,1)=0,"",_xlfn.XLOOKUP(C269,customers!$A$2:$A$1001,customers!$C$2:$C$1001,,0,1))</f>
        <v>snortheast7f@mashable.com</v>
      </c>
      <c r="H269" s="2" t="str">
        <f>_xlfn.XLOOKUP(C269, customers!$A$2:$A$1001, customers!$G$2:$G$1001, , 0, 1)</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t="str">
        <f>_xlfn.XLOOKUP(C270, customers!$A$2:$A$1001, customers!$B$2:$B$1001, , 0, 1)</f>
        <v>Anselma Attwater</v>
      </c>
      <c r="G270" s="2" t="str">
        <f>IF(_xlfn.XLOOKUP(C270,customers!$A$2:$A$1001,customers!$C$2:$C$1001,,0,1)=0,"",_xlfn.XLOOKUP(C270,customers!$A$2:$A$1001,customers!$C$2:$C$1001,,0,1))</f>
        <v>aattwater5u@wikia.com</v>
      </c>
      <c r="H270" s="2" t="str">
        <f>_xlfn.XLOOKUP(C270, customers!$A$2:$A$1001, customers!$G$2:$G$1001, , 0, 1)</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t="str">
        <f>_xlfn.XLOOKUP(C271, customers!$A$2:$A$1001, customers!$B$2:$B$1001, , 0, 1)</f>
        <v>Monica Fearon</v>
      </c>
      <c r="G271" s="2" t="str">
        <f>IF(_xlfn.XLOOKUP(C271,customers!$A$2:$A$1001,customers!$C$2:$C$1001,,0,1)=0,"",_xlfn.XLOOKUP(C271,customers!$A$2:$A$1001,customers!$C$2:$C$1001,,0,1))</f>
        <v>mfearon7h@reverbnation.com</v>
      </c>
      <c r="H271" s="2" t="str">
        <f>_xlfn.XLOOKUP(C271, customers!$A$2:$A$1001, customers!$G$2:$G$1001, , 0, 1)</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t="str">
        <f>_xlfn.XLOOKUP(C272, customers!$A$2:$A$1001, customers!$B$2:$B$1001, , 0, 1)</f>
        <v>Barney Chisnell</v>
      </c>
      <c r="G272" s="2" t="str">
        <f>IF(_xlfn.XLOOKUP(C272,customers!$A$2:$A$1001,customers!$C$2:$C$1001,,0,1)=0,"",_xlfn.XLOOKUP(C272,customers!$A$2:$A$1001,customers!$C$2:$C$1001,,0,1))</f>
        <v/>
      </c>
      <c r="H272" s="2" t="str">
        <f>_xlfn.XLOOKUP(C272, customers!$A$2:$A$1001, customers!$G$2:$G$1001, , 0, 1)</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t="str">
        <f>_xlfn.XLOOKUP(C273, customers!$A$2:$A$1001, customers!$B$2:$B$1001, , 0, 1)</f>
        <v>Jasper Sisneros</v>
      </c>
      <c r="G273" s="2" t="str">
        <f>IF(_xlfn.XLOOKUP(C273,customers!$A$2:$A$1001,customers!$C$2:$C$1001,,0,1)=0,"",_xlfn.XLOOKUP(C273,customers!$A$2:$A$1001,customers!$C$2:$C$1001,,0,1))</f>
        <v>jsisneros7j@a8.net</v>
      </c>
      <c r="H273" s="2" t="str">
        <f>_xlfn.XLOOKUP(C273, customers!$A$2:$A$1001, customers!$G$2:$G$1001, , 0, 1)</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t="str">
        <f>_xlfn.XLOOKUP(C274, customers!$A$2:$A$1001, customers!$B$2:$B$1001, , 0, 1)</f>
        <v>Zachariah Carlson</v>
      </c>
      <c r="G274" s="2" t="str">
        <f>IF(_xlfn.XLOOKUP(C274,customers!$A$2:$A$1001,customers!$C$2:$C$1001,,0,1)=0,"",_xlfn.XLOOKUP(C274,customers!$A$2:$A$1001,customers!$C$2:$C$1001,,0,1))</f>
        <v>zcarlson7k@bigcartel.com</v>
      </c>
      <c r="H274" s="2" t="str">
        <f>_xlfn.XLOOKUP(C274, customers!$A$2:$A$1001, customers!$G$2:$G$1001, , 0, 1)</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Large</v>
      </c>
      <c r="P274" t="str">
        <f>_xlfn.XLOOKUP(Orders[[#This Row],[Customer ID]],customers!$A$1:$A$1001,customers!$I$1:$I$1001,"",0)</f>
        <v>Yes</v>
      </c>
    </row>
    <row r="275" spans="1:16" x14ac:dyDescent="0.3">
      <c r="A275" s="2" t="s">
        <v>2032</v>
      </c>
      <c r="B275" s="3">
        <v>44681</v>
      </c>
      <c r="C275" s="2" t="s">
        <v>2033</v>
      </c>
      <c r="D275" t="s">
        <v>6167</v>
      </c>
      <c r="E275" s="2">
        <v>2</v>
      </c>
      <c r="F275" t="str">
        <f>_xlfn.XLOOKUP(C275, customers!$A$2:$A$1001, customers!$B$2:$B$1001, , 0, 1)</f>
        <v>Warner Maddox</v>
      </c>
      <c r="G275" s="2" t="str">
        <f>IF(_xlfn.XLOOKUP(C275,customers!$A$2:$A$1001,customers!$C$2:$C$1001,,0,1)=0,"",_xlfn.XLOOKUP(C275,customers!$A$2:$A$1001,customers!$C$2:$C$1001,,0,1))</f>
        <v>wmaddox7l@timesonline.co.uk</v>
      </c>
      <c r="H275" s="2" t="str">
        <f>_xlfn.XLOOKUP(C275, customers!$A$2:$A$1001, customers!$G$2:$G$1001, , 0, 1)</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Large</v>
      </c>
      <c r="P275" t="str">
        <f>_xlfn.XLOOKUP(Orders[[#This Row],[Customer ID]],customers!$A$1:$A$1001,customers!$I$1:$I$1001,"",0)</f>
        <v>No</v>
      </c>
    </row>
    <row r="276" spans="1:16" x14ac:dyDescent="0.3">
      <c r="A276" s="2" t="s">
        <v>2038</v>
      </c>
      <c r="B276" s="3">
        <v>43985</v>
      </c>
      <c r="C276" s="2" t="s">
        <v>2039</v>
      </c>
      <c r="D276" t="s">
        <v>6175</v>
      </c>
      <c r="E276" s="2">
        <v>1</v>
      </c>
      <c r="F276" t="str">
        <f>_xlfn.XLOOKUP(C276, customers!$A$2:$A$1001, customers!$B$2:$B$1001, , 0, 1)</f>
        <v>Donnie Hedlestone</v>
      </c>
      <c r="G276" s="2" t="str">
        <f>IF(_xlfn.XLOOKUP(C276,customers!$A$2:$A$1001,customers!$C$2:$C$1001,,0,1)=0,"",_xlfn.XLOOKUP(C276,customers!$A$2:$A$1001,customers!$C$2:$C$1001,,0,1))</f>
        <v>dhedlestone7m@craigslist.org</v>
      </c>
      <c r="H276" s="2" t="str">
        <f>_xlfn.XLOOKUP(C276, customers!$A$2:$A$1001, customers!$G$2:$G$1001, , 0, 1)</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t="str">
        <f>_xlfn.XLOOKUP(C277, customers!$A$2:$A$1001, customers!$B$2:$B$1001, , 0, 1)</f>
        <v>Teddi Crowthe</v>
      </c>
      <c r="G277" s="2" t="str">
        <f>IF(_xlfn.XLOOKUP(C277,customers!$A$2:$A$1001,customers!$C$2:$C$1001,,0,1)=0,"",_xlfn.XLOOKUP(C277,customers!$A$2:$A$1001,customers!$C$2:$C$1001,,0,1))</f>
        <v>tcrowthe7n@europa.eu</v>
      </c>
      <c r="H277" s="2" t="str">
        <f>_xlfn.XLOOKUP(C277, customers!$A$2:$A$1001, customers!$G$2:$G$1001, , 0, 1)</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Large</v>
      </c>
      <c r="P277" t="str">
        <f>_xlfn.XLOOKUP(Orders[[#This Row],[Customer ID]],customers!$A$1:$A$1001,customers!$I$1:$I$1001,"",0)</f>
        <v>No</v>
      </c>
    </row>
    <row r="278" spans="1:16" x14ac:dyDescent="0.3">
      <c r="A278" s="2" t="s">
        <v>2050</v>
      </c>
      <c r="B278" s="3">
        <v>43992</v>
      </c>
      <c r="C278" s="2" t="s">
        <v>2051</v>
      </c>
      <c r="D278" t="s">
        <v>6142</v>
      </c>
      <c r="E278" s="2">
        <v>4</v>
      </c>
      <c r="F278" t="str">
        <f>_xlfn.XLOOKUP(C278, customers!$A$2:$A$1001, customers!$B$2:$B$1001, , 0, 1)</f>
        <v>Dorelia Bury</v>
      </c>
      <c r="G278" s="2" t="str">
        <f>IF(_xlfn.XLOOKUP(C278,customers!$A$2:$A$1001,customers!$C$2:$C$1001,,0,1)=0,"",_xlfn.XLOOKUP(C278,customers!$A$2:$A$1001,customers!$C$2:$C$1001,,0,1))</f>
        <v>dbury7o@tinyurl.com</v>
      </c>
      <c r="H278" s="2" t="str">
        <f>_xlfn.XLOOKUP(C278, customers!$A$2:$A$1001, customers!$G$2:$G$1001, , 0, 1)</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Large</v>
      </c>
      <c r="P278" t="str">
        <f>_xlfn.XLOOKUP(Orders[[#This Row],[Customer ID]],customers!$A$1:$A$1001,customers!$I$1:$I$1001,"",0)</f>
        <v>Yes</v>
      </c>
    </row>
    <row r="279" spans="1:16" x14ac:dyDescent="0.3">
      <c r="A279" s="2" t="s">
        <v>2056</v>
      </c>
      <c r="B279" s="3">
        <v>44183</v>
      </c>
      <c r="C279" s="2" t="s">
        <v>2057</v>
      </c>
      <c r="D279" t="s">
        <v>6171</v>
      </c>
      <c r="E279" s="2">
        <v>6</v>
      </c>
      <c r="F279" t="str">
        <f>_xlfn.XLOOKUP(C279, customers!$A$2:$A$1001, customers!$B$2:$B$1001, , 0, 1)</f>
        <v>Gussy Broadbear</v>
      </c>
      <c r="G279" s="2" t="str">
        <f>IF(_xlfn.XLOOKUP(C279,customers!$A$2:$A$1001,customers!$C$2:$C$1001,,0,1)=0,"",_xlfn.XLOOKUP(C279,customers!$A$2:$A$1001,customers!$C$2:$C$1001,,0,1))</f>
        <v>gbroadbear7p@omniture.com</v>
      </c>
      <c r="H279" s="2" t="str">
        <f>_xlfn.XLOOKUP(C279, customers!$A$2:$A$1001, customers!$G$2:$G$1001, , 0, 1)</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Large</v>
      </c>
      <c r="P279" t="str">
        <f>_xlfn.XLOOKUP(Orders[[#This Row],[Customer ID]],customers!$A$1:$A$1001,customers!$I$1:$I$1001,"",0)</f>
        <v>No</v>
      </c>
    </row>
    <row r="280" spans="1:16" x14ac:dyDescent="0.3">
      <c r="A280" s="2" t="s">
        <v>2062</v>
      </c>
      <c r="B280" s="3">
        <v>43708</v>
      </c>
      <c r="C280" s="2" t="s">
        <v>2063</v>
      </c>
      <c r="D280" t="s">
        <v>6167</v>
      </c>
      <c r="E280" s="2">
        <v>2</v>
      </c>
      <c r="F280" t="str">
        <f>_xlfn.XLOOKUP(C280, customers!$A$2:$A$1001, customers!$B$2:$B$1001, , 0, 1)</f>
        <v>Emlynne Palfrey</v>
      </c>
      <c r="G280" s="2" t="str">
        <f>IF(_xlfn.XLOOKUP(C280,customers!$A$2:$A$1001,customers!$C$2:$C$1001,,0,1)=0,"",_xlfn.XLOOKUP(C280,customers!$A$2:$A$1001,customers!$C$2:$C$1001,,0,1))</f>
        <v>epalfrey7q@devhub.com</v>
      </c>
      <c r="H280" s="2" t="str">
        <f>_xlfn.XLOOKUP(C280, customers!$A$2:$A$1001, customers!$G$2:$G$1001, , 0, 1)</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Large</v>
      </c>
      <c r="P280" t="str">
        <f>_xlfn.XLOOKUP(Orders[[#This Row],[Customer ID]],customers!$A$1:$A$1001,customers!$I$1:$I$1001,"",0)</f>
        <v>Yes</v>
      </c>
    </row>
    <row r="281" spans="1:16" x14ac:dyDescent="0.3">
      <c r="A281" s="2" t="s">
        <v>2068</v>
      </c>
      <c r="B281" s="3">
        <v>43521</v>
      </c>
      <c r="C281" s="2" t="s">
        <v>2069</v>
      </c>
      <c r="D281" t="s">
        <v>6181</v>
      </c>
      <c r="E281" s="2">
        <v>1</v>
      </c>
      <c r="F281" t="str">
        <f>_xlfn.XLOOKUP(C281, customers!$A$2:$A$1001, customers!$B$2:$B$1001, , 0, 1)</f>
        <v>Parsifal Metrick</v>
      </c>
      <c r="G281" s="2" t="str">
        <f>IF(_xlfn.XLOOKUP(C281,customers!$A$2:$A$1001,customers!$C$2:$C$1001,,0,1)=0,"",_xlfn.XLOOKUP(C281,customers!$A$2:$A$1001,customers!$C$2:$C$1001,,0,1))</f>
        <v>pmetrick7r@rakuten.co.jp</v>
      </c>
      <c r="H281" s="2" t="str">
        <f>_xlfn.XLOOKUP(C281, customers!$A$2:$A$1001, customers!$G$2:$G$1001, , 0, 1)</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t="str">
        <f>_xlfn.XLOOKUP(C282, customers!$A$2:$A$1001, customers!$B$2:$B$1001, , 0, 1)</f>
        <v>Christopher Grieveson</v>
      </c>
      <c r="G282" s="2" t="str">
        <f>IF(_xlfn.XLOOKUP(C282,customers!$A$2:$A$1001,customers!$C$2:$C$1001,,0,1)=0,"",_xlfn.XLOOKUP(C282,customers!$A$2:$A$1001,customers!$C$2:$C$1001,,0,1))</f>
        <v/>
      </c>
      <c r="H282" s="2" t="str">
        <f>_xlfn.XLOOKUP(C282, customers!$A$2:$A$1001, customers!$G$2:$G$1001, , 0, 1)</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t="str">
        <f>_xlfn.XLOOKUP(C283, customers!$A$2:$A$1001, customers!$B$2:$B$1001, , 0, 1)</f>
        <v>Karlan Karby</v>
      </c>
      <c r="G283" s="2" t="str">
        <f>IF(_xlfn.XLOOKUP(C283,customers!$A$2:$A$1001,customers!$C$2:$C$1001,,0,1)=0,"",_xlfn.XLOOKUP(C283,customers!$A$2:$A$1001,customers!$C$2:$C$1001,,0,1))</f>
        <v>kkarby7t@sbwire.com</v>
      </c>
      <c r="H283" s="2" t="str">
        <f>_xlfn.XLOOKUP(C283, customers!$A$2:$A$1001, customers!$G$2:$G$1001, , 0, 1)</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Large</v>
      </c>
      <c r="P283" t="str">
        <f>_xlfn.XLOOKUP(Orders[[#This Row],[Customer ID]],customers!$A$1:$A$1001,customers!$I$1:$I$1001,"",0)</f>
        <v>Yes</v>
      </c>
    </row>
    <row r="284" spans="1:16" x14ac:dyDescent="0.3">
      <c r="A284" s="2" t="s">
        <v>2085</v>
      </c>
      <c r="B284" s="3">
        <v>43520</v>
      </c>
      <c r="C284" s="2" t="s">
        <v>2086</v>
      </c>
      <c r="D284" t="s">
        <v>6180</v>
      </c>
      <c r="E284" s="2">
        <v>1</v>
      </c>
      <c r="F284" t="str">
        <f>_xlfn.XLOOKUP(C284, customers!$A$2:$A$1001, customers!$B$2:$B$1001, , 0, 1)</f>
        <v>Flory Crumpe</v>
      </c>
      <c r="G284" s="2" t="str">
        <f>IF(_xlfn.XLOOKUP(C284,customers!$A$2:$A$1001,customers!$C$2:$C$1001,,0,1)=0,"",_xlfn.XLOOKUP(C284,customers!$A$2:$A$1001,customers!$C$2:$C$1001,,0,1))</f>
        <v>fcrumpe7u@ftc.gov</v>
      </c>
      <c r="H284" s="2" t="str">
        <f>_xlfn.XLOOKUP(C284, customers!$A$2:$A$1001, customers!$G$2:$G$1001, , 0, 1)</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Large</v>
      </c>
      <c r="P284" t="str">
        <f>_xlfn.XLOOKUP(Orders[[#This Row],[Customer ID]],customers!$A$1:$A$1001,customers!$I$1:$I$1001,"",0)</f>
        <v>No</v>
      </c>
    </row>
    <row r="285" spans="1:16" x14ac:dyDescent="0.3">
      <c r="A285" s="2" t="s">
        <v>2091</v>
      </c>
      <c r="B285" s="3">
        <v>43639</v>
      </c>
      <c r="C285" s="2" t="s">
        <v>2092</v>
      </c>
      <c r="D285" t="s">
        <v>6172</v>
      </c>
      <c r="E285" s="2">
        <v>1</v>
      </c>
      <c r="F285" t="str">
        <f>_xlfn.XLOOKUP(C285, customers!$A$2:$A$1001, customers!$B$2:$B$1001, , 0, 1)</f>
        <v>Amity Chatto</v>
      </c>
      <c r="G285" s="2" t="str">
        <f>IF(_xlfn.XLOOKUP(C285,customers!$A$2:$A$1001,customers!$C$2:$C$1001,,0,1)=0,"",_xlfn.XLOOKUP(C285,customers!$A$2:$A$1001,customers!$C$2:$C$1001,,0,1))</f>
        <v>achatto7v@sakura.ne.jp</v>
      </c>
      <c r="H285" s="2" t="str">
        <f>_xlfn.XLOOKUP(C285, customers!$A$2:$A$1001, customers!$G$2:$G$1001, , 0, 1)</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t="str">
        <f>_xlfn.XLOOKUP(C286, customers!$A$2:$A$1001, customers!$B$2:$B$1001, , 0, 1)</f>
        <v>Nanine McCarthy</v>
      </c>
      <c r="G286" s="2" t="str">
        <f>IF(_xlfn.XLOOKUP(C286,customers!$A$2:$A$1001,customers!$C$2:$C$1001,,0,1)=0,"",_xlfn.XLOOKUP(C286,customers!$A$2:$A$1001,customers!$C$2:$C$1001,,0,1))</f>
        <v/>
      </c>
      <c r="H286" s="2" t="str">
        <f>_xlfn.XLOOKUP(C286, customers!$A$2:$A$1001, customers!$G$2:$G$1001, , 0, 1)</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t="str">
        <f>_xlfn.XLOOKUP(C287, customers!$A$2:$A$1001, customers!$B$2:$B$1001, , 0, 1)</f>
        <v>Lyndsey Megany</v>
      </c>
      <c r="G287" s="2" t="str">
        <f>IF(_xlfn.XLOOKUP(C287,customers!$A$2:$A$1001,customers!$C$2:$C$1001,,0,1)=0,"",_xlfn.XLOOKUP(C287,customers!$A$2:$A$1001,customers!$C$2:$C$1001,,0,1))</f>
        <v/>
      </c>
      <c r="H287" s="2" t="str">
        <f>_xlfn.XLOOKUP(C287, customers!$A$2:$A$1001, customers!$G$2:$G$1001, , 0, 1)</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Large</v>
      </c>
      <c r="P287" t="str">
        <f>_xlfn.XLOOKUP(Orders[[#This Row],[Customer ID]],customers!$A$1:$A$1001,customers!$I$1:$I$1001,"",0)</f>
        <v>No</v>
      </c>
    </row>
    <row r="288" spans="1:16" x14ac:dyDescent="0.3">
      <c r="A288" s="2" t="s">
        <v>2107</v>
      </c>
      <c r="B288" s="3">
        <v>43755</v>
      </c>
      <c r="C288" s="2" t="s">
        <v>2108</v>
      </c>
      <c r="D288" t="s">
        <v>6152</v>
      </c>
      <c r="E288" s="2">
        <v>4</v>
      </c>
      <c r="F288" t="str">
        <f>_xlfn.XLOOKUP(C288, customers!$A$2:$A$1001, customers!$B$2:$B$1001, , 0, 1)</f>
        <v>Byram Mergue</v>
      </c>
      <c r="G288" s="2" t="str">
        <f>IF(_xlfn.XLOOKUP(C288,customers!$A$2:$A$1001,customers!$C$2:$C$1001,,0,1)=0,"",_xlfn.XLOOKUP(C288,customers!$A$2:$A$1001,customers!$C$2:$C$1001,,0,1))</f>
        <v>bmergue7y@umn.edu</v>
      </c>
      <c r="H288" s="2" t="str">
        <f>_xlfn.XLOOKUP(C288, customers!$A$2:$A$1001, customers!$G$2:$G$1001, , 0, 1)</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t="str">
        <f>_xlfn.XLOOKUP(C289, customers!$A$2:$A$1001, customers!$B$2:$B$1001, , 0, 1)</f>
        <v>Kerr Patise</v>
      </c>
      <c r="G289" s="2" t="str">
        <f>IF(_xlfn.XLOOKUP(C289,customers!$A$2:$A$1001,customers!$C$2:$C$1001,,0,1)=0,"",_xlfn.XLOOKUP(C289,customers!$A$2:$A$1001,customers!$C$2:$C$1001,,0,1))</f>
        <v>kpatise7z@jigsy.com</v>
      </c>
      <c r="H289" s="2" t="str">
        <f>_xlfn.XLOOKUP(C289, customers!$A$2:$A$1001, customers!$G$2:$G$1001, , 0, 1)</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Large</v>
      </c>
      <c r="P289" t="str">
        <f>_xlfn.XLOOKUP(Orders[[#This Row],[Customer ID]],customers!$A$1:$A$1001,customers!$I$1:$I$1001,"",0)</f>
        <v>No</v>
      </c>
    </row>
    <row r="290" spans="1:16" x14ac:dyDescent="0.3">
      <c r="A290" s="2" t="s">
        <v>2118</v>
      </c>
      <c r="B290" s="3">
        <v>44279</v>
      </c>
      <c r="C290" s="2" t="s">
        <v>2119</v>
      </c>
      <c r="D290" t="s">
        <v>6139</v>
      </c>
      <c r="E290" s="2">
        <v>1</v>
      </c>
      <c r="F290" t="str">
        <f>_xlfn.XLOOKUP(C290, customers!$A$2:$A$1001, customers!$B$2:$B$1001, , 0, 1)</f>
        <v>Mathew Goulter</v>
      </c>
      <c r="G290" s="2" t="str">
        <f>IF(_xlfn.XLOOKUP(C290,customers!$A$2:$A$1001,customers!$C$2:$C$1001,,0,1)=0,"",_xlfn.XLOOKUP(C290,customers!$A$2:$A$1001,customers!$C$2:$C$1001,,0,1))</f>
        <v/>
      </c>
      <c r="H290" s="2" t="str">
        <f>_xlfn.XLOOKUP(C290, customers!$A$2:$A$1001, customers!$G$2:$G$1001, , 0, 1)</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t="str">
        <f>_xlfn.XLOOKUP(C291, customers!$A$2:$A$1001, customers!$B$2:$B$1001, , 0, 1)</f>
        <v>Marris Grcic</v>
      </c>
      <c r="G291" s="2" t="str">
        <f>IF(_xlfn.XLOOKUP(C291,customers!$A$2:$A$1001,customers!$C$2:$C$1001,,0,1)=0,"",_xlfn.XLOOKUP(C291,customers!$A$2:$A$1001,customers!$C$2:$C$1001,,0,1))</f>
        <v/>
      </c>
      <c r="H291" s="2" t="str">
        <f>_xlfn.XLOOKUP(C291, customers!$A$2:$A$1001, customers!$G$2:$G$1001, , 0, 1)</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t="str">
        <f>_xlfn.XLOOKUP(C292, customers!$A$2:$A$1001, customers!$B$2:$B$1001, , 0, 1)</f>
        <v>Domeniga Duke</v>
      </c>
      <c r="G292" s="2" t="str">
        <f>IF(_xlfn.XLOOKUP(C292,customers!$A$2:$A$1001,customers!$C$2:$C$1001,,0,1)=0,"",_xlfn.XLOOKUP(C292,customers!$A$2:$A$1001,customers!$C$2:$C$1001,,0,1))</f>
        <v>dduke82@vkontakte.ru</v>
      </c>
      <c r="H292" s="2" t="str">
        <f>_xlfn.XLOOKUP(C292, customers!$A$2:$A$1001, customers!$G$2:$G$1001, , 0, 1)</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t="str">
        <f>_xlfn.XLOOKUP(C293, customers!$A$2:$A$1001, customers!$B$2:$B$1001, , 0, 1)</f>
        <v>Violante Skouling</v>
      </c>
      <c r="G293" s="2" t="str">
        <f>IF(_xlfn.XLOOKUP(C293,customers!$A$2:$A$1001,customers!$C$2:$C$1001,,0,1)=0,"",_xlfn.XLOOKUP(C293,customers!$A$2:$A$1001,customers!$C$2:$C$1001,,0,1))</f>
        <v/>
      </c>
      <c r="H293" s="2" t="str">
        <f>_xlfn.XLOOKUP(C293, customers!$A$2:$A$1001, customers!$G$2:$G$1001, , 0, 1)</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t="str">
        <f>_xlfn.XLOOKUP(C294, customers!$A$2:$A$1001, customers!$B$2:$B$1001, , 0, 1)</f>
        <v>Isidore Hussey</v>
      </c>
      <c r="G294" s="2" t="str">
        <f>IF(_xlfn.XLOOKUP(C294,customers!$A$2:$A$1001,customers!$C$2:$C$1001,,0,1)=0,"",_xlfn.XLOOKUP(C294,customers!$A$2:$A$1001,customers!$C$2:$C$1001,,0,1))</f>
        <v>ihussey84@mapy.cz</v>
      </c>
      <c r="H294" s="2" t="str">
        <f>_xlfn.XLOOKUP(C294, customers!$A$2:$A$1001, customers!$G$2:$G$1001, , 0, 1)</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t="str">
        <f>_xlfn.XLOOKUP(C295, customers!$A$2:$A$1001, customers!$B$2:$B$1001, , 0, 1)</f>
        <v>Cassie Pinkerton</v>
      </c>
      <c r="G295" s="2" t="str">
        <f>IF(_xlfn.XLOOKUP(C295,customers!$A$2:$A$1001,customers!$C$2:$C$1001,,0,1)=0,"",_xlfn.XLOOKUP(C295,customers!$A$2:$A$1001,customers!$C$2:$C$1001,,0,1))</f>
        <v>cpinkerton85@upenn.edu</v>
      </c>
      <c r="H295" s="2" t="str">
        <f>_xlfn.XLOOKUP(C295, customers!$A$2:$A$1001, customers!$G$2:$G$1001, , 0, 1)</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t="str">
        <f>_xlfn.XLOOKUP(C296, customers!$A$2:$A$1001, customers!$B$2:$B$1001, , 0, 1)</f>
        <v>Micki Fero</v>
      </c>
      <c r="G296" s="2" t="str">
        <f>IF(_xlfn.XLOOKUP(C296,customers!$A$2:$A$1001,customers!$C$2:$C$1001,,0,1)=0,"",_xlfn.XLOOKUP(C296,customers!$A$2:$A$1001,customers!$C$2:$C$1001,,0,1))</f>
        <v/>
      </c>
      <c r="H296" s="2" t="str">
        <f>_xlfn.XLOOKUP(C296, customers!$A$2:$A$1001, customers!$G$2:$G$1001, , 0, 1)</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Large</v>
      </c>
      <c r="P296" t="str">
        <f>_xlfn.XLOOKUP(Orders[[#This Row],[Customer ID]],customers!$A$1:$A$1001,customers!$I$1:$I$1001,"",0)</f>
        <v>No</v>
      </c>
    </row>
    <row r="297" spans="1:16" x14ac:dyDescent="0.3">
      <c r="A297" s="2" t="s">
        <v>2153</v>
      </c>
      <c r="B297" s="3">
        <v>44057</v>
      </c>
      <c r="C297" s="2" t="s">
        <v>2154</v>
      </c>
      <c r="D297" t="s">
        <v>6141</v>
      </c>
      <c r="E297" s="2">
        <v>2</v>
      </c>
      <c r="F297" t="str">
        <f>_xlfn.XLOOKUP(C297, customers!$A$2:$A$1001, customers!$B$2:$B$1001, , 0, 1)</f>
        <v>Cybill Graddell</v>
      </c>
      <c r="G297" s="2" t="str">
        <f>IF(_xlfn.XLOOKUP(C297,customers!$A$2:$A$1001,customers!$C$2:$C$1001,,0,1)=0,"",_xlfn.XLOOKUP(C297,customers!$A$2:$A$1001,customers!$C$2:$C$1001,,0,1))</f>
        <v/>
      </c>
      <c r="H297" s="2" t="str">
        <f>_xlfn.XLOOKUP(C297, customers!$A$2:$A$1001, customers!$G$2:$G$1001, , 0, 1)</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t="str">
        <f>_xlfn.XLOOKUP(C298, customers!$A$2:$A$1001, customers!$B$2:$B$1001, , 0, 1)</f>
        <v>Dorian Vizor</v>
      </c>
      <c r="G298" s="2" t="str">
        <f>IF(_xlfn.XLOOKUP(C298,customers!$A$2:$A$1001,customers!$C$2:$C$1001,,0,1)=0,"",_xlfn.XLOOKUP(C298,customers!$A$2:$A$1001,customers!$C$2:$C$1001,,0,1))</f>
        <v>dvizor88@furl.net</v>
      </c>
      <c r="H298" s="2" t="str">
        <f>_xlfn.XLOOKUP(C298, customers!$A$2:$A$1001, customers!$G$2:$G$1001, , 0, 1)</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t="str">
        <f>_xlfn.XLOOKUP(C299, customers!$A$2:$A$1001, customers!$B$2:$B$1001, , 0, 1)</f>
        <v>Eddi Sedgebeer</v>
      </c>
      <c r="G299" s="2" t="str">
        <f>IF(_xlfn.XLOOKUP(C299,customers!$A$2:$A$1001,customers!$C$2:$C$1001,,0,1)=0,"",_xlfn.XLOOKUP(C299,customers!$A$2:$A$1001,customers!$C$2:$C$1001,,0,1))</f>
        <v>esedgebeer89@oaic.gov.au</v>
      </c>
      <c r="H299" s="2" t="str">
        <f>_xlfn.XLOOKUP(C299, customers!$A$2:$A$1001, customers!$G$2:$G$1001, , 0, 1)</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t="str">
        <f>_xlfn.XLOOKUP(C300, customers!$A$2:$A$1001, customers!$B$2:$B$1001, , 0, 1)</f>
        <v>Ken Lestrange</v>
      </c>
      <c r="G300" s="2" t="str">
        <f>IF(_xlfn.XLOOKUP(C300,customers!$A$2:$A$1001,customers!$C$2:$C$1001,,0,1)=0,"",_xlfn.XLOOKUP(C300,customers!$A$2:$A$1001,customers!$C$2:$C$1001,,0,1))</f>
        <v>klestrange8a@lulu.com</v>
      </c>
      <c r="H300" s="2" t="str">
        <f>_xlfn.XLOOKUP(C300, customers!$A$2:$A$1001, customers!$G$2:$G$1001, , 0, 1)</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Large</v>
      </c>
      <c r="P300" t="str">
        <f>_xlfn.XLOOKUP(Orders[[#This Row],[Customer ID]],customers!$A$1:$A$1001,customers!$I$1:$I$1001,"",0)</f>
        <v>Yes</v>
      </c>
    </row>
    <row r="301" spans="1:16" x14ac:dyDescent="0.3">
      <c r="A301" s="2" t="s">
        <v>2175</v>
      </c>
      <c r="B301" s="3">
        <v>43582</v>
      </c>
      <c r="C301" s="2" t="s">
        <v>2176</v>
      </c>
      <c r="D301" t="s">
        <v>6148</v>
      </c>
      <c r="E301" s="2">
        <v>6</v>
      </c>
      <c r="F301" t="str">
        <f>_xlfn.XLOOKUP(C301, customers!$A$2:$A$1001, customers!$B$2:$B$1001, , 0, 1)</f>
        <v>Lacee Tanti</v>
      </c>
      <c r="G301" s="2" t="str">
        <f>IF(_xlfn.XLOOKUP(C301,customers!$A$2:$A$1001,customers!$C$2:$C$1001,,0,1)=0,"",_xlfn.XLOOKUP(C301,customers!$A$2:$A$1001,customers!$C$2:$C$1001,,0,1))</f>
        <v>ltanti8b@techcrunch.com</v>
      </c>
      <c r="H301" s="2" t="str">
        <f>_xlfn.XLOOKUP(C301, customers!$A$2:$A$1001, customers!$G$2:$G$1001, , 0, 1)</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Large</v>
      </c>
      <c r="P301" t="str">
        <f>_xlfn.XLOOKUP(Orders[[#This Row],[Customer ID]],customers!$A$1:$A$1001,customers!$I$1:$I$1001,"",0)</f>
        <v>Yes</v>
      </c>
    </row>
    <row r="302" spans="1:16" x14ac:dyDescent="0.3">
      <c r="A302" s="2" t="s">
        <v>2181</v>
      </c>
      <c r="B302" s="3">
        <v>44646</v>
      </c>
      <c r="C302" s="2" t="s">
        <v>2182</v>
      </c>
      <c r="D302" t="s">
        <v>6140</v>
      </c>
      <c r="E302" s="2">
        <v>3</v>
      </c>
      <c r="F302" t="str">
        <f>_xlfn.XLOOKUP(C302, customers!$A$2:$A$1001, customers!$B$2:$B$1001, , 0, 1)</f>
        <v>Arel De Lasci</v>
      </c>
      <c r="G302" s="2" t="str">
        <f>IF(_xlfn.XLOOKUP(C302,customers!$A$2:$A$1001,customers!$C$2:$C$1001,,0,1)=0,"",_xlfn.XLOOKUP(C302,customers!$A$2:$A$1001,customers!$C$2:$C$1001,,0,1))</f>
        <v>ade8c@1und1.de</v>
      </c>
      <c r="H302" s="2" t="str">
        <f>_xlfn.XLOOKUP(C302, customers!$A$2:$A$1001, customers!$G$2:$G$1001, , 0, 1)</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Large</v>
      </c>
      <c r="P302" t="str">
        <f>_xlfn.XLOOKUP(Orders[[#This Row],[Customer ID]],customers!$A$1:$A$1001,customers!$I$1:$I$1001,"",0)</f>
        <v>Yes</v>
      </c>
    </row>
    <row r="303" spans="1:16" x14ac:dyDescent="0.3">
      <c r="A303" s="2" t="s">
        <v>2187</v>
      </c>
      <c r="B303" s="3">
        <v>44102</v>
      </c>
      <c r="C303" s="2" t="s">
        <v>2188</v>
      </c>
      <c r="D303" t="s">
        <v>6150</v>
      </c>
      <c r="E303" s="2">
        <v>4</v>
      </c>
      <c r="F303" t="str">
        <f>_xlfn.XLOOKUP(C303, customers!$A$2:$A$1001, customers!$B$2:$B$1001, , 0, 1)</f>
        <v>Trescha Jedrachowicz</v>
      </c>
      <c r="G303" s="2" t="str">
        <f>IF(_xlfn.XLOOKUP(C303,customers!$A$2:$A$1001,customers!$C$2:$C$1001,,0,1)=0,"",_xlfn.XLOOKUP(C303,customers!$A$2:$A$1001,customers!$C$2:$C$1001,,0,1))</f>
        <v>tjedrachowicz8d@acquirethisname.com</v>
      </c>
      <c r="H303" s="2" t="str">
        <f>_xlfn.XLOOKUP(C303, customers!$A$2:$A$1001, customers!$G$2:$G$1001, , 0, 1)</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t="str">
        <f>_xlfn.XLOOKUP(C304, customers!$A$2:$A$1001, customers!$B$2:$B$1001, , 0, 1)</f>
        <v>Perkin Stonner</v>
      </c>
      <c r="G304" s="2" t="str">
        <f>IF(_xlfn.XLOOKUP(C304,customers!$A$2:$A$1001,customers!$C$2:$C$1001,,0,1)=0,"",_xlfn.XLOOKUP(C304,customers!$A$2:$A$1001,customers!$C$2:$C$1001,,0,1))</f>
        <v>pstonner8e@moonfruit.com</v>
      </c>
      <c r="H304" s="2" t="str">
        <f>_xlfn.XLOOKUP(C304, customers!$A$2:$A$1001, customers!$G$2:$G$1001, , 0, 1)</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t="str">
        <f>_xlfn.XLOOKUP(C305, customers!$A$2:$A$1001, customers!$B$2:$B$1001, , 0, 1)</f>
        <v>Darrin Tingly</v>
      </c>
      <c r="G305" s="2" t="str">
        <f>IF(_xlfn.XLOOKUP(C305,customers!$A$2:$A$1001,customers!$C$2:$C$1001,,0,1)=0,"",_xlfn.XLOOKUP(C305,customers!$A$2:$A$1001,customers!$C$2:$C$1001,,0,1))</f>
        <v>dtingly8f@goo.ne.jp</v>
      </c>
      <c r="H305" s="2" t="str">
        <f>_xlfn.XLOOKUP(C305, customers!$A$2:$A$1001, customers!$G$2:$G$1001, , 0, 1)</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t="str">
        <f>_xlfn.XLOOKUP(C306, customers!$A$2:$A$1001, customers!$B$2:$B$1001, , 0, 1)</f>
        <v>Claudetta Rushe</v>
      </c>
      <c r="G306" s="2" t="str">
        <f>IF(_xlfn.XLOOKUP(C306,customers!$A$2:$A$1001,customers!$C$2:$C$1001,,0,1)=0,"",_xlfn.XLOOKUP(C306,customers!$A$2:$A$1001,customers!$C$2:$C$1001,,0,1))</f>
        <v>crushe8n@about.me</v>
      </c>
      <c r="H306" s="2" t="str">
        <f>_xlfn.XLOOKUP(C306, customers!$A$2:$A$1001, customers!$G$2:$G$1001, , 0, 1)</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Large</v>
      </c>
      <c r="P306" t="str">
        <f>_xlfn.XLOOKUP(Orders[[#This Row],[Customer ID]],customers!$A$1:$A$1001,customers!$I$1:$I$1001,"",0)</f>
        <v>Yes</v>
      </c>
    </row>
    <row r="307" spans="1:16" x14ac:dyDescent="0.3">
      <c r="A307" s="2" t="s">
        <v>2209</v>
      </c>
      <c r="B307" s="3">
        <v>43796</v>
      </c>
      <c r="C307" s="2" t="s">
        <v>2210</v>
      </c>
      <c r="D307" t="s">
        <v>6159</v>
      </c>
      <c r="E307" s="2">
        <v>5</v>
      </c>
      <c r="F307" t="str">
        <f>_xlfn.XLOOKUP(C307, customers!$A$2:$A$1001, customers!$B$2:$B$1001, , 0, 1)</f>
        <v>Benn Checci</v>
      </c>
      <c r="G307" s="2" t="str">
        <f>IF(_xlfn.XLOOKUP(C307,customers!$A$2:$A$1001,customers!$C$2:$C$1001,,0,1)=0,"",_xlfn.XLOOKUP(C307,customers!$A$2:$A$1001,customers!$C$2:$C$1001,,0,1))</f>
        <v>bchecci8h@usa.gov</v>
      </c>
      <c r="H307" s="2" t="str">
        <f>_xlfn.XLOOKUP(C307, customers!$A$2:$A$1001, customers!$G$2:$G$1001, , 0, 1)</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t="str">
        <f>_xlfn.XLOOKUP(C308, customers!$A$2:$A$1001, customers!$B$2:$B$1001, , 0, 1)</f>
        <v>Janifer Bagot</v>
      </c>
      <c r="G308" s="2" t="str">
        <f>IF(_xlfn.XLOOKUP(C308,customers!$A$2:$A$1001,customers!$C$2:$C$1001,,0,1)=0,"",_xlfn.XLOOKUP(C308,customers!$A$2:$A$1001,customers!$C$2:$C$1001,,0,1))</f>
        <v>jbagot8i@mac.com</v>
      </c>
      <c r="H308" s="2" t="str">
        <f>_xlfn.XLOOKUP(C308, customers!$A$2:$A$1001, customers!$G$2:$G$1001, , 0, 1)</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t="str">
        <f>_xlfn.XLOOKUP(C309, customers!$A$2:$A$1001, customers!$B$2:$B$1001, , 0, 1)</f>
        <v>Ermin Beeble</v>
      </c>
      <c r="G309" s="2" t="str">
        <f>IF(_xlfn.XLOOKUP(C309,customers!$A$2:$A$1001,customers!$C$2:$C$1001,,0,1)=0,"",_xlfn.XLOOKUP(C309,customers!$A$2:$A$1001,customers!$C$2:$C$1001,,0,1))</f>
        <v>ebeeble8j@soundcloud.com</v>
      </c>
      <c r="H309" s="2" t="str">
        <f>_xlfn.XLOOKUP(C309, customers!$A$2:$A$1001, customers!$G$2:$G$1001, , 0, 1)</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t="str">
        <f>_xlfn.XLOOKUP(C310, customers!$A$2:$A$1001, customers!$B$2:$B$1001, , 0, 1)</f>
        <v>Cos Fluin</v>
      </c>
      <c r="G310" s="2" t="str">
        <f>IF(_xlfn.XLOOKUP(C310,customers!$A$2:$A$1001,customers!$C$2:$C$1001,,0,1)=0,"",_xlfn.XLOOKUP(C310,customers!$A$2:$A$1001,customers!$C$2:$C$1001,,0,1))</f>
        <v>cfluin8k@flickr.com</v>
      </c>
      <c r="H310" s="2" t="str">
        <f>_xlfn.XLOOKUP(C310, customers!$A$2:$A$1001, customers!$G$2:$G$1001, , 0, 1)</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t="str">
        <f>_xlfn.XLOOKUP(C311, customers!$A$2:$A$1001, customers!$B$2:$B$1001, , 0, 1)</f>
        <v>Eveleen Bletsor</v>
      </c>
      <c r="G311" s="2" t="str">
        <f>IF(_xlfn.XLOOKUP(C311,customers!$A$2:$A$1001,customers!$C$2:$C$1001,,0,1)=0,"",_xlfn.XLOOKUP(C311,customers!$A$2:$A$1001,customers!$C$2:$C$1001,,0,1))</f>
        <v>ebletsor8l@vinaora.com</v>
      </c>
      <c r="H311" s="2" t="str">
        <f>_xlfn.XLOOKUP(C311, customers!$A$2:$A$1001, customers!$G$2:$G$1001, , 0, 1)</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t="str">
        <f>_xlfn.XLOOKUP(C312, customers!$A$2:$A$1001, customers!$B$2:$B$1001, , 0, 1)</f>
        <v>Paola Brydell</v>
      </c>
      <c r="G312" s="2" t="str">
        <f>IF(_xlfn.XLOOKUP(C312,customers!$A$2:$A$1001,customers!$C$2:$C$1001,,0,1)=0,"",_xlfn.XLOOKUP(C312,customers!$A$2:$A$1001,customers!$C$2:$C$1001,,0,1))</f>
        <v>pbrydell8m@bloglovin.com</v>
      </c>
      <c r="H312" s="2" t="str">
        <f>_xlfn.XLOOKUP(C312, customers!$A$2:$A$1001, customers!$G$2:$G$1001, , 0, 1)</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Large</v>
      </c>
      <c r="P312" t="str">
        <f>_xlfn.XLOOKUP(Orders[[#This Row],[Customer ID]],customers!$A$1:$A$1001,customers!$I$1:$I$1001,"",0)</f>
        <v>No</v>
      </c>
    </row>
    <row r="313" spans="1:16" x14ac:dyDescent="0.3">
      <c r="A313" s="2" t="s">
        <v>2244</v>
      </c>
      <c r="B313" s="3">
        <v>43951</v>
      </c>
      <c r="C313" s="2" t="s">
        <v>2245</v>
      </c>
      <c r="D313" t="s">
        <v>6166</v>
      </c>
      <c r="E313" s="2">
        <v>6</v>
      </c>
      <c r="F313" t="str">
        <f>_xlfn.XLOOKUP(C313, customers!$A$2:$A$1001, customers!$B$2:$B$1001, , 0, 1)</f>
        <v>Claudetta Rushe</v>
      </c>
      <c r="G313" s="2" t="str">
        <f>IF(_xlfn.XLOOKUP(C313,customers!$A$2:$A$1001,customers!$C$2:$C$1001,,0,1)=0,"",_xlfn.XLOOKUP(C313,customers!$A$2:$A$1001,customers!$C$2:$C$1001,,0,1))</f>
        <v>crushe8n@about.me</v>
      </c>
      <c r="H313" s="2" t="str">
        <f>_xlfn.XLOOKUP(C313, customers!$A$2:$A$1001, customers!$G$2:$G$1001, , 0, 1)</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t="str">
        <f>_xlfn.XLOOKUP(C314, customers!$A$2:$A$1001, customers!$B$2:$B$1001, , 0, 1)</f>
        <v>Natka Leethem</v>
      </c>
      <c r="G314" s="2" t="str">
        <f>IF(_xlfn.XLOOKUP(C314,customers!$A$2:$A$1001,customers!$C$2:$C$1001,,0,1)=0,"",_xlfn.XLOOKUP(C314,customers!$A$2:$A$1001,customers!$C$2:$C$1001,,0,1))</f>
        <v>nleethem8o@mac.com</v>
      </c>
      <c r="H314" s="2" t="str">
        <f>_xlfn.XLOOKUP(C314, customers!$A$2:$A$1001, customers!$G$2:$G$1001, , 0, 1)</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t="str">
        <f>_xlfn.XLOOKUP(C315, customers!$A$2:$A$1001, customers!$B$2:$B$1001, , 0, 1)</f>
        <v>Ailene Nesfield</v>
      </c>
      <c r="G315" s="2" t="str">
        <f>IF(_xlfn.XLOOKUP(C315,customers!$A$2:$A$1001,customers!$C$2:$C$1001,,0,1)=0,"",_xlfn.XLOOKUP(C315,customers!$A$2:$A$1001,customers!$C$2:$C$1001,,0,1))</f>
        <v>anesfield8p@people.com.cn</v>
      </c>
      <c r="H315" s="2" t="str">
        <f>_xlfn.XLOOKUP(C315, customers!$A$2:$A$1001, customers!$G$2:$G$1001, , 0, 1)</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t="str">
        <f>_xlfn.XLOOKUP(C316, customers!$A$2:$A$1001, customers!$B$2:$B$1001, , 0, 1)</f>
        <v>Stacy Pickworth</v>
      </c>
      <c r="G316" s="2" t="str">
        <f>IF(_xlfn.XLOOKUP(C316,customers!$A$2:$A$1001,customers!$C$2:$C$1001,,0,1)=0,"",_xlfn.XLOOKUP(C316,customers!$A$2:$A$1001,customers!$C$2:$C$1001,,0,1))</f>
        <v/>
      </c>
      <c r="H316" s="2" t="str">
        <f>_xlfn.XLOOKUP(C316, customers!$A$2:$A$1001, customers!$G$2:$G$1001, , 0, 1)</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t="str">
        <f>_xlfn.XLOOKUP(C317, customers!$A$2:$A$1001, customers!$B$2:$B$1001, , 0, 1)</f>
        <v>Melli Brockway</v>
      </c>
      <c r="G317" s="2" t="str">
        <f>IF(_xlfn.XLOOKUP(C317,customers!$A$2:$A$1001,customers!$C$2:$C$1001,,0,1)=0,"",_xlfn.XLOOKUP(C317,customers!$A$2:$A$1001,customers!$C$2:$C$1001,,0,1))</f>
        <v>mbrockway8r@ibm.com</v>
      </c>
      <c r="H317" s="2" t="str">
        <f>_xlfn.XLOOKUP(C317, customers!$A$2:$A$1001, customers!$G$2:$G$1001, , 0, 1)</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Large</v>
      </c>
      <c r="P317" t="str">
        <f>_xlfn.XLOOKUP(Orders[[#This Row],[Customer ID]],customers!$A$1:$A$1001,customers!$I$1:$I$1001,"",0)</f>
        <v>Yes</v>
      </c>
    </row>
    <row r="318" spans="1:16" x14ac:dyDescent="0.3">
      <c r="A318" s="2" t="s">
        <v>2273</v>
      </c>
      <c r="B318" s="3">
        <v>43641</v>
      </c>
      <c r="C318" s="2" t="s">
        <v>2274</v>
      </c>
      <c r="D318" t="s">
        <v>6148</v>
      </c>
      <c r="E318" s="2">
        <v>6</v>
      </c>
      <c r="F318" t="str">
        <f>_xlfn.XLOOKUP(C318, customers!$A$2:$A$1001, customers!$B$2:$B$1001, , 0, 1)</f>
        <v>Nanny Lush</v>
      </c>
      <c r="G318" s="2" t="str">
        <f>IF(_xlfn.XLOOKUP(C318,customers!$A$2:$A$1001,customers!$C$2:$C$1001,,0,1)=0,"",_xlfn.XLOOKUP(C318,customers!$A$2:$A$1001,customers!$C$2:$C$1001,,0,1))</f>
        <v>nlush8s@dedecms.com</v>
      </c>
      <c r="H318" s="2" t="str">
        <f>_xlfn.XLOOKUP(C318, customers!$A$2:$A$1001, customers!$G$2:$G$1001, , 0, 1)</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Large</v>
      </c>
      <c r="P318" t="str">
        <f>_xlfn.XLOOKUP(Orders[[#This Row],[Customer ID]],customers!$A$1:$A$1001,customers!$I$1:$I$1001,"",0)</f>
        <v>No</v>
      </c>
    </row>
    <row r="319" spans="1:16" x14ac:dyDescent="0.3">
      <c r="A319" s="2" t="s">
        <v>2279</v>
      </c>
      <c r="B319" s="3">
        <v>43526</v>
      </c>
      <c r="C319" s="2" t="s">
        <v>2280</v>
      </c>
      <c r="D319" t="s">
        <v>6144</v>
      </c>
      <c r="E319" s="2">
        <v>3</v>
      </c>
      <c r="F319" t="str">
        <f>_xlfn.XLOOKUP(C319, customers!$A$2:$A$1001, customers!$B$2:$B$1001, , 0, 1)</f>
        <v>Selma McMillian</v>
      </c>
      <c r="G319" s="2" t="str">
        <f>IF(_xlfn.XLOOKUP(C319,customers!$A$2:$A$1001,customers!$C$2:$C$1001,,0,1)=0,"",_xlfn.XLOOKUP(C319,customers!$A$2:$A$1001,customers!$C$2:$C$1001,,0,1))</f>
        <v>smcmillian8t@csmonitor.com</v>
      </c>
      <c r="H319" s="2" t="str">
        <f>_xlfn.XLOOKUP(C319, customers!$A$2:$A$1001, customers!$G$2:$G$1001, , 0, 1)</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t="str">
        <f>_xlfn.XLOOKUP(C320, customers!$A$2:$A$1001, customers!$B$2:$B$1001, , 0, 1)</f>
        <v>Tess Bennison</v>
      </c>
      <c r="G320" s="2" t="str">
        <f>IF(_xlfn.XLOOKUP(C320,customers!$A$2:$A$1001,customers!$C$2:$C$1001,,0,1)=0,"",_xlfn.XLOOKUP(C320,customers!$A$2:$A$1001,customers!$C$2:$C$1001,,0,1))</f>
        <v>tbennison8u@google.cn</v>
      </c>
      <c r="H320" s="2" t="str">
        <f>_xlfn.XLOOKUP(C320, customers!$A$2:$A$1001, customers!$G$2:$G$1001, , 0, 1)</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t="str">
        <f>_xlfn.XLOOKUP(C321, customers!$A$2:$A$1001, customers!$B$2:$B$1001, , 0, 1)</f>
        <v>Gabie Tweed</v>
      </c>
      <c r="G321" s="2" t="str">
        <f>IF(_xlfn.XLOOKUP(C321,customers!$A$2:$A$1001,customers!$C$2:$C$1001,,0,1)=0,"",_xlfn.XLOOKUP(C321,customers!$A$2:$A$1001,customers!$C$2:$C$1001,,0,1))</f>
        <v>gtweed8v@yolasite.com</v>
      </c>
      <c r="H321" s="2" t="str">
        <f>_xlfn.XLOOKUP(C321, customers!$A$2:$A$1001, customers!$G$2:$G$1001, , 0, 1)</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t="str">
        <f>_xlfn.XLOOKUP(C322, customers!$A$2:$A$1001, customers!$B$2:$B$1001, , 0, 1)</f>
        <v>Gabie Tweed</v>
      </c>
      <c r="G322" s="2" t="str">
        <f>IF(_xlfn.XLOOKUP(C322,customers!$A$2:$A$1001,customers!$C$2:$C$1001,,0,1)=0,"",_xlfn.XLOOKUP(C322,customers!$A$2:$A$1001,customers!$C$2:$C$1001,,0,1))</f>
        <v>gtweed8v@yolasite.com</v>
      </c>
      <c r="H322" s="2" t="str">
        <f>_xlfn.XLOOKUP(C322, customers!$A$2:$A$1001, customers!$G$2:$G$1001, , 0, 1)</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Large</v>
      </c>
      <c r="P322" t="str">
        <f>_xlfn.XLOOKUP(Orders[[#This Row],[Customer ID]],customers!$A$1:$A$1001,customers!$I$1:$I$1001,"",0)</f>
        <v>Yes</v>
      </c>
    </row>
    <row r="323" spans="1:16" x14ac:dyDescent="0.3">
      <c r="A323" s="2" t="s">
        <v>2301</v>
      </c>
      <c r="B323" s="3">
        <v>44170</v>
      </c>
      <c r="C323" s="2" t="s">
        <v>2302</v>
      </c>
      <c r="D323" t="s">
        <v>6152</v>
      </c>
      <c r="E323" s="2">
        <v>6</v>
      </c>
      <c r="F323" t="str">
        <f>_xlfn.XLOOKUP(C323, customers!$A$2:$A$1001, customers!$B$2:$B$1001, , 0, 1)</f>
        <v>Gaile Goggin</v>
      </c>
      <c r="G323" s="2" t="str">
        <f>IF(_xlfn.XLOOKUP(C323,customers!$A$2:$A$1001,customers!$C$2:$C$1001,,0,1)=0,"",_xlfn.XLOOKUP(C323,customers!$A$2:$A$1001,customers!$C$2:$C$1001,,0,1))</f>
        <v>ggoggin8x@wix.com</v>
      </c>
      <c r="H323" s="2" t="str">
        <f>_xlfn.XLOOKUP(C323, customers!$A$2:$A$1001, customers!$G$2:$G$1001, , 0, 1)</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IF(J323="M","Medium",IF(J323="L","Large",IF(J323="D","Dark","")))</f>
        <v>Medium</v>
      </c>
      <c r="P323" t="str">
        <f>_xlfn.XLOOKUP(Orders[[#This Row],[Customer ID]],customers!$A$1:$A$1001,customers!$I$1:$I$1001,"",0)</f>
        <v>Yes</v>
      </c>
    </row>
    <row r="324" spans="1:16" x14ac:dyDescent="0.3">
      <c r="A324" s="2" t="s">
        <v>2307</v>
      </c>
      <c r="B324" s="3">
        <v>44182</v>
      </c>
      <c r="C324" s="2" t="s">
        <v>2308</v>
      </c>
      <c r="D324" t="s">
        <v>6169</v>
      </c>
      <c r="E324" s="2">
        <v>3</v>
      </c>
      <c r="F324" t="str">
        <f>_xlfn.XLOOKUP(C324, customers!$A$2:$A$1001, customers!$B$2:$B$1001, , 0, 1)</f>
        <v>Skylar Jeyness</v>
      </c>
      <c r="G324" s="2" t="str">
        <f>IF(_xlfn.XLOOKUP(C324,customers!$A$2:$A$1001,customers!$C$2:$C$1001,,0,1)=0,"",_xlfn.XLOOKUP(C324,customers!$A$2:$A$1001,customers!$C$2:$C$1001,,0,1))</f>
        <v>sjeyness8y@biglobe.ne.jp</v>
      </c>
      <c r="H324" s="2" t="str">
        <f>_xlfn.XLOOKUP(C324, customers!$A$2:$A$1001, customers!$G$2:$G$1001, , 0, 1)</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t="str">
        <f>_xlfn.XLOOKUP(C325, customers!$A$2:$A$1001, customers!$B$2:$B$1001, , 0, 1)</f>
        <v>Donica Bonhome</v>
      </c>
      <c r="G325" s="2" t="str">
        <f>IF(_xlfn.XLOOKUP(C325,customers!$A$2:$A$1001,customers!$C$2:$C$1001,,0,1)=0,"",_xlfn.XLOOKUP(C325,customers!$A$2:$A$1001,customers!$C$2:$C$1001,,0,1))</f>
        <v>dbonhome8z@shinystat.com</v>
      </c>
      <c r="H325" s="2" t="str">
        <f>_xlfn.XLOOKUP(C325, customers!$A$2:$A$1001, customers!$G$2:$G$1001, , 0, 1)</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t="str">
        <f>_xlfn.XLOOKUP(C326, customers!$A$2:$A$1001, customers!$B$2:$B$1001, , 0, 1)</f>
        <v>Diena Peetermann</v>
      </c>
      <c r="G326" s="2" t="str">
        <f>IF(_xlfn.XLOOKUP(C326,customers!$A$2:$A$1001,customers!$C$2:$C$1001,,0,1)=0,"",_xlfn.XLOOKUP(C326,customers!$A$2:$A$1001,customers!$C$2:$C$1001,,0,1))</f>
        <v/>
      </c>
      <c r="H326" s="2" t="str">
        <f>_xlfn.XLOOKUP(C326, customers!$A$2:$A$1001, customers!$G$2:$G$1001, , 0, 1)</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t="str">
        <f>_xlfn.XLOOKUP(C327, customers!$A$2:$A$1001, customers!$B$2:$B$1001, , 0, 1)</f>
        <v>Trina Le Sarr</v>
      </c>
      <c r="G327" s="2" t="str">
        <f>IF(_xlfn.XLOOKUP(C327,customers!$A$2:$A$1001,customers!$C$2:$C$1001,,0,1)=0,"",_xlfn.XLOOKUP(C327,customers!$A$2:$A$1001,customers!$C$2:$C$1001,,0,1))</f>
        <v>tle91@epa.gov</v>
      </c>
      <c r="H327" s="2" t="str">
        <f>_xlfn.XLOOKUP(C327, customers!$A$2:$A$1001, customers!$G$2:$G$1001, , 0, 1)</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Large</v>
      </c>
      <c r="P327" t="str">
        <f>_xlfn.XLOOKUP(Orders[[#This Row],[Customer ID]],customers!$A$1:$A$1001,customers!$I$1:$I$1001,"",0)</f>
        <v>Yes</v>
      </c>
    </row>
    <row r="328" spans="1:16" x14ac:dyDescent="0.3">
      <c r="A328" s="2" t="s">
        <v>2330</v>
      </c>
      <c r="B328" s="3">
        <v>44057</v>
      </c>
      <c r="C328" s="2" t="s">
        <v>2331</v>
      </c>
      <c r="D328" t="s">
        <v>6177</v>
      </c>
      <c r="E328" s="2">
        <v>5</v>
      </c>
      <c r="F328" t="str">
        <f>_xlfn.XLOOKUP(C328, customers!$A$2:$A$1001, customers!$B$2:$B$1001, , 0, 1)</f>
        <v>Flynn Antony</v>
      </c>
      <c r="G328" s="2" t="str">
        <f>IF(_xlfn.XLOOKUP(C328,customers!$A$2:$A$1001,customers!$C$2:$C$1001,,0,1)=0,"",_xlfn.XLOOKUP(C328,customers!$A$2:$A$1001,customers!$C$2:$C$1001,,0,1))</f>
        <v/>
      </c>
      <c r="H328" s="2" t="str">
        <f>_xlfn.XLOOKUP(C328, customers!$A$2:$A$1001, customers!$G$2:$G$1001, , 0, 1)</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t="str">
        <f>_xlfn.XLOOKUP(C329, customers!$A$2:$A$1001, customers!$B$2:$B$1001, , 0, 1)</f>
        <v>Baudoin Alldridge</v>
      </c>
      <c r="G329" s="2" t="str">
        <f>IF(_xlfn.XLOOKUP(C329,customers!$A$2:$A$1001,customers!$C$2:$C$1001,,0,1)=0,"",_xlfn.XLOOKUP(C329,customers!$A$2:$A$1001,customers!$C$2:$C$1001,,0,1))</f>
        <v>balldridge93@yandex.ru</v>
      </c>
      <c r="H329" s="2" t="str">
        <f>_xlfn.XLOOKUP(C329, customers!$A$2:$A$1001, customers!$G$2:$G$1001, , 0, 1)</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t="str">
        <f>_xlfn.XLOOKUP(C330, customers!$A$2:$A$1001, customers!$B$2:$B$1001, , 0, 1)</f>
        <v>Homer Dulany</v>
      </c>
      <c r="G330" s="2" t="str">
        <f>IF(_xlfn.XLOOKUP(C330,customers!$A$2:$A$1001,customers!$C$2:$C$1001,,0,1)=0,"",_xlfn.XLOOKUP(C330,customers!$A$2:$A$1001,customers!$C$2:$C$1001,,0,1))</f>
        <v/>
      </c>
      <c r="H330" s="2" t="str">
        <f>_xlfn.XLOOKUP(C330, customers!$A$2:$A$1001, customers!$G$2:$G$1001, , 0, 1)</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Large</v>
      </c>
      <c r="P330" t="str">
        <f>_xlfn.XLOOKUP(Orders[[#This Row],[Customer ID]],customers!$A$1:$A$1001,customers!$I$1:$I$1001,"",0)</f>
        <v>Yes</v>
      </c>
    </row>
    <row r="331" spans="1:16" x14ac:dyDescent="0.3">
      <c r="A331" s="2" t="s">
        <v>2346</v>
      </c>
      <c r="B331" s="3">
        <v>44781</v>
      </c>
      <c r="C331" s="2" t="s">
        <v>2347</v>
      </c>
      <c r="D331" t="s">
        <v>6172</v>
      </c>
      <c r="E331" s="2">
        <v>4</v>
      </c>
      <c r="F331" t="str">
        <f>_xlfn.XLOOKUP(C331, customers!$A$2:$A$1001, customers!$B$2:$B$1001, , 0, 1)</f>
        <v>Lisa Goodger</v>
      </c>
      <c r="G331" s="2" t="str">
        <f>IF(_xlfn.XLOOKUP(C331,customers!$A$2:$A$1001,customers!$C$2:$C$1001,,0,1)=0,"",_xlfn.XLOOKUP(C331,customers!$A$2:$A$1001,customers!$C$2:$C$1001,,0,1))</f>
        <v>lgoodger95@guardian.co.uk</v>
      </c>
      <c r="H331" s="2" t="str">
        <f>_xlfn.XLOOKUP(C331, customers!$A$2:$A$1001, customers!$G$2:$G$1001, , 0, 1)</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t="str">
        <f>_xlfn.XLOOKUP(C332, customers!$A$2:$A$1001, customers!$B$2:$B$1001, , 0, 1)</f>
        <v>Selma McMillian</v>
      </c>
      <c r="G332" s="2" t="str">
        <f>IF(_xlfn.XLOOKUP(C332,customers!$A$2:$A$1001,customers!$C$2:$C$1001,,0,1)=0,"",_xlfn.XLOOKUP(C332,customers!$A$2:$A$1001,customers!$C$2:$C$1001,,0,1))</f>
        <v>smcmillian8t@csmonitor.com</v>
      </c>
      <c r="H332" s="2" t="str">
        <f>_xlfn.XLOOKUP(C332, customers!$A$2:$A$1001, customers!$G$2:$G$1001, , 0, 1)</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t="str">
        <f>_xlfn.XLOOKUP(C333, customers!$A$2:$A$1001, customers!$B$2:$B$1001, , 0, 1)</f>
        <v>Corine Drewett</v>
      </c>
      <c r="G333" s="2" t="str">
        <f>IF(_xlfn.XLOOKUP(C333,customers!$A$2:$A$1001,customers!$C$2:$C$1001,,0,1)=0,"",_xlfn.XLOOKUP(C333,customers!$A$2:$A$1001,customers!$C$2:$C$1001,,0,1))</f>
        <v>cdrewett97@wikipedia.org</v>
      </c>
      <c r="H333" s="2" t="str">
        <f>_xlfn.XLOOKUP(C333, customers!$A$2:$A$1001, customers!$G$2:$G$1001, , 0, 1)</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t="str">
        <f>_xlfn.XLOOKUP(C334, customers!$A$2:$A$1001, customers!$B$2:$B$1001, , 0, 1)</f>
        <v>Quinn Parsons</v>
      </c>
      <c r="G334" s="2" t="str">
        <f>IF(_xlfn.XLOOKUP(C334,customers!$A$2:$A$1001,customers!$C$2:$C$1001,,0,1)=0,"",_xlfn.XLOOKUP(C334,customers!$A$2:$A$1001,customers!$C$2:$C$1001,,0,1))</f>
        <v>qparsons98@blogtalkradio.com</v>
      </c>
      <c r="H334" s="2" t="str">
        <f>_xlfn.XLOOKUP(C334, customers!$A$2:$A$1001, customers!$G$2:$G$1001, , 0, 1)</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t="str">
        <f>_xlfn.XLOOKUP(C335, customers!$A$2:$A$1001, customers!$B$2:$B$1001, , 0, 1)</f>
        <v>Vivyan Ceely</v>
      </c>
      <c r="G335" s="2" t="str">
        <f>IF(_xlfn.XLOOKUP(C335,customers!$A$2:$A$1001,customers!$C$2:$C$1001,,0,1)=0,"",_xlfn.XLOOKUP(C335,customers!$A$2:$A$1001,customers!$C$2:$C$1001,,0,1))</f>
        <v>vceely99@auda.org.au</v>
      </c>
      <c r="H335" s="2" t="str">
        <f>_xlfn.XLOOKUP(C335, customers!$A$2:$A$1001, customers!$G$2:$G$1001, , 0, 1)</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t="str">
        <f>_xlfn.XLOOKUP(C336, customers!$A$2:$A$1001, customers!$B$2:$B$1001, , 0, 1)</f>
        <v>Elonore Goodings</v>
      </c>
      <c r="G336" s="2" t="str">
        <f>IF(_xlfn.XLOOKUP(C336,customers!$A$2:$A$1001,customers!$C$2:$C$1001,,0,1)=0,"",_xlfn.XLOOKUP(C336,customers!$A$2:$A$1001,customers!$C$2:$C$1001,,0,1))</f>
        <v/>
      </c>
      <c r="H336" s="2" t="str">
        <f>_xlfn.XLOOKUP(C336, customers!$A$2:$A$1001, customers!$G$2:$G$1001, , 0, 1)</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Large</v>
      </c>
      <c r="P336" t="str">
        <f>_xlfn.XLOOKUP(Orders[[#This Row],[Customer ID]],customers!$A$1:$A$1001,customers!$I$1:$I$1001,"",0)</f>
        <v>No</v>
      </c>
    </row>
    <row r="337" spans="1:16" x14ac:dyDescent="0.3">
      <c r="A337" s="2" t="s">
        <v>2379</v>
      </c>
      <c r="B337" s="3">
        <v>43885</v>
      </c>
      <c r="C337" s="2" t="s">
        <v>2380</v>
      </c>
      <c r="D337" t="s">
        <v>6145</v>
      </c>
      <c r="E337" s="2">
        <v>6</v>
      </c>
      <c r="F337" t="str">
        <f>_xlfn.XLOOKUP(C337, customers!$A$2:$A$1001, customers!$B$2:$B$1001, , 0, 1)</f>
        <v>Clement Vasiliev</v>
      </c>
      <c r="G337" s="2" t="str">
        <f>IF(_xlfn.XLOOKUP(C337,customers!$A$2:$A$1001,customers!$C$2:$C$1001,,0,1)=0,"",_xlfn.XLOOKUP(C337,customers!$A$2:$A$1001,customers!$C$2:$C$1001,,0,1))</f>
        <v>cvasiliev9b@discuz.net</v>
      </c>
      <c r="H337" s="2" t="str">
        <f>_xlfn.XLOOKUP(C337, customers!$A$2:$A$1001, customers!$G$2:$G$1001, , 0, 1)</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Large</v>
      </c>
      <c r="P337" t="str">
        <f>_xlfn.XLOOKUP(Orders[[#This Row],[Customer ID]],customers!$A$1:$A$1001,customers!$I$1:$I$1001,"",0)</f>
        <v>Yes</v>
      </c>
    </row>
    <row r="338" spans="1:16" x14ac:dyDescent="0.3">
      <c r="A338" s="2" t="s">
        <v>2385</v>
      </c>
      <c r="B338" s="3">
        <v>44434</v>
      </c>
      <c r="C338" s="2" t="s">
        <v>2386</v>
      </c>
      <c r="D338" t="s">
        <v>6155</v>
      </c>
      <c r="E338" s="2">
        <v>4</v>
      </c>
      <c r="F338" t="str">
        <f>_xlfn.XLOOKUP(C338, customers!$A$2:$A$1001, customers!$B$2:$B$1001, , 0, 1)</f>
        <v>Terencio O'Moylan</v>
      </c>
      <c r="G338" s="2" t="str">
        <f>IF(_xlfn.XLOOKUP(C338,customers!$A$2:$A$1001,customers!$C$2:$C$1001,,0,1)=0,"",_xlfn.XLOOKUP(C338,customers!$A$2:$A$1001,customers!$C$2:$C$1001,,0,1))</f>
        <v>tomoylan9c@liveinternet.ru</v>
      </c>
      <c r="H338" s="2" t="str">
        <f>_xlfn.XLOOKUP(C338, customers!$A$2:$A$1001, customers!$G$2:$G$1001, , 0, 1)</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t="str">
        <f>_xlfn.XLOOKUP(C339, customers!$A$2:$A$1001, customers!$B$2:$B$1001, , 0, 1)</f>
        <v>Flynn Antony</v>
      </c>
      <c r="G339" s="2" t="str">
        <f>IF(_xlfn.XLOOKUP(C339,customers!$A$2:$A$1001,customers!$C$2:$C$1001,,0,1)=0,"",_xlfn.XLOOKUP(C339,customers!$A$2:$A$1001,customers!$C$2:$C$1001,,0,1))</f>
        <v/>
      </c>
      <c r="H339" s="2" t="str">
        <f>_xlfn.XLOOKUP(C339, customers!$A$2:$A$1001, customers!$G$2:$G$1001, , 0, 1)</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t="str">
        <f>_xlfn.XLOOKUP(C340, customers!$A$2:$A$1001, customers!$B$2:$B$1001, , 0, 1)</f>
        <v>Wyatan Fetherston</v>
      </c>
      <c r="G340" s="2" t="str">
        <f>IF(_xlfn.XLOOKUP(C340,customers!$A$2:$A$1001,customers!$C$2:$C$1001,,0,1)=0,"",_xlfn.XLOOKUP(C340,customers!$A$2:$A$1001,customers!$C$2:$C$1001,,0,1))</f>
        <v>wfetherston9e@constantcontact.com</v>
      </c>
      <c r="H340" s="2" t="str">
        <f>_xlfn.XLOOKUP(C340, customers!$A$2:$A$1001, customers!$G$2:$G$1001, , 0, 1)</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Large</v>
      </c>
      <c r="P340" t="str">
        <f>_xlfn.XLOOKUP(Orders[[#This Row],[Customer ID]],customers!$A$1:$A$1001,customers!$I$1:$I$1001,"",0)</f>
        <v>No</v>
      </c>
    </row>
    <row r="341" spans="1:16" x14ac:dyDescent="0.3">
      <c r="A341" s="2" t="s">
        <v>2402</v>
      </c>
      <c r="B341" s="3">
        <v>44256</v>
      </c>
      <c r="C341" s="2" t="s">
        <v>2403</v>
      </c>
      <c r="D341" t="s">
        <v>6153</v>
      </c>
      <c r="E341" s="2">
        <v>2</v>
      </c>
      <c r="F341" t="str">
        <f>_xlfn.XLOOKUP(C341, customers!$A$2:$A$1001, customers!$B$2:$B$1001, , 0, 1)</f>
        <v>Emmaline Rasmus</v>
      </c>
      <c r="G341" s="2" t="str">
        <f>IF(_xlfn.XLOOKUP(C341,customers!$A$2:$A$1001,customers!$C$2:$C$1001,,0,1)=0,"",_xlfn.XLOOKUP(C341,customers!$A$2:$A$1001,customers!$C$2:$C$1001,,0,1))</f>
        <v>erasmus9f@techcrunch.com</v>
      </c>
      <c r="H341" s="2" t="str">
        <f>_xlfn.XLOOKUP(C341, customers!$A$2:$A$1001, customers!$G$2:$G$1001, , 0, 1)</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t="str">
        <f>_xlfn.XLOOKUP(C342, customers!$A$2:$A$1001, customers!$B$2:$B$1001, , 0, 1)</f>
        <v>Wesley Giorgioni</v>
      </c>
      <c r="G342" s="2" t="str">
        <f>IF(_xlfn.XLOOKUP(C342,customers!$A$2:$A$1001,customers!$C$2:$C$1001,,0,1)=0,"",_xlfn.XLOOKUP(C342,customers!$A$2:$A$1001,customers!$C$2:$C$1001,,0,1))</f>
        <v>wgiorgioni9g@wikipedia.org</v>
      </c>
      <c r="H342" s="2" t="str">
        <f>_xlfn.XLOOKUP(C342, customers!$A$2:$A$1001, customers!$G$2:$G$1001, , 0, 1)</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t="str">
        <f>_xlfn.XLOOKUP(C343, customers!$A$2:$A$1001, customers!$B$2:$B$1001, , 0, 1)</f>
        <v>Lucienne Scargle</v>
      </c>
      <c r="G343" s="2" t="str">
        <f>IF(_xlfn.XLOOKUP(C343,customers!$A$2:$A$1001,customers!$C$2:$C$1001,,0,1)=0,"",_xlfn.XLOOKUP(C343,customers!$A$2:$A$1001,customers!$C$2:$C$1001,,0,1))</f>
        <v>lscargle9h@myspace.com</v>
      </c>
      <c r="H343" s="2" t="str">
        <f>_xlfn.XLOOKUP(C343, customers!$A$2:$A$1001, customers!$G$2:$G$1001, , 0, 1)</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Large</v>
      </c>
      <c r="P343" t="str">
        <f>_xlfn.XLOOKUP(Orders[[#This Row],[Customer ID]],customers!$A$1:$A$1001,customers!$I$1:$I$1001,"",0)</f>
        <v>No</v>
      </c>
    </row>
    <row r="344" spans="1:16" x14ac:dyDescent="0.3">
      <c r="A344" s="2" t="s">
        <v>2414</v>
      </c>
      <c r="B344" s="3">
        <v>43751</v>
      </c>
      <c r="C344" s="2" t="s">
        <v>2415</v>
      </c>
      <c r="D344" t="s">
        <v>6169</v>
      </c>
      <c r="E344" s="2">
        <v>5</v>
      </c>
      <c r="F344" t="str">
        <f>_xlfn.XLOOKUP(C344, customers!$A$2:$A$1001, customers!$B$2:$B$1001, , 0, 1)</f>
        <v>Lucienne Scargle</v>
      </c>
      <c r="G344" s="2" t="str">
        <f>IF(_xlfn.XLOOKUP(C344,customers!$A$2:$A$1001,customers!$C$2:$C$1001,,0,1)=0,"",_xlfn.XLOOKUP(C344,customers!$A$2:$A$1001,customers!$C$2:$C$1001,,0,1))</f>
        <v>lscargle9h@myspace.com</v>
      </c>
      <c r="H344" s="2" t="str">
        <f>_xlfn.XLOOKUP(C344, customers!$A$2:$A$1001, customers!$G$2:$G$1001, , 0, 1)</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t="str">
        <f>_xlfn.XLOOKUP(C345, customers!$A$2:$A$1001, customers!$B$2:$B$1001, , 0, 1)</f>
        <v>Noam Climance</v>
      </c>
      <c r="G345" s="2" t="str">
        <f>IF(_xlfn.XLOOKUP(C345,customers!$A$2:$A$1001,customers!$C$2:$C$1001,,0,1)=0,"",_xlfn.XLOOKUP(C345,customers!$A$2:$A$1001,customers!$C$2:$C$1001,,0,1))</f>
        <v>nclimance9j@europa.eu</v>
      </c>
      <c r="H345" s="2" t="str">
        <f>_xlfn.XLOOKUP(C345, customers!$A$2:$A$1001, customers!$G$2:$G$1001, , 0, 1)</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t="str">
        <f>_xlfn.XLOOKUP(C346, customers!$A$2:$A$1001, customers!$B$2:$B$1001, , 0, 1)</f>
        <v>Catarina Donn</v>
      </c>
      <c r="G346" s="2" t="str">
        <f>IF(_xlfn.XLOOKUP(C346,customers!$A$2:$A$1001,customers!$C$2:$C$1001,,0,1)=0,"",_xlfn.XLOOKUP(C346,customers!$A$2:$A$1001,customers!$C$2:$C$1001,,0,1))</f>
        <v/>
      </c>
      <c r="H346" s="2" t="str">
        <f>_xlfn.XLOOKUP(C346, customers!$A$2:$A$1001, customers!$G$2:$G$1001, , 0, 1)</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t="str">
        <f>_xlfn.XLOOKUP(C347, customers!$A$2:$A$1001, customers!$B$2:$B$1001, , 0, 1)</f>
        <v>Ameline Snazle</v>
      </c>
      <c r="G347" s="2" t="str">
        <f>IF(_xlfn.XLOOKUP(C347,customers!$A$2:$A$1001,customers!$C$2:$C$1001,,0,1)=0,"",_xlfn.XLOOKUP(C347,customers!$A$2:$A$1001,customers!$C$2:$C$1001,,0,1))</f>
        <v>asnazle9l@oracle.com</v>
      </c>
      <c r="H347" s="2" t="str">
        <f>_xlfn.XLOOKUP(C347, customers!$A$2:$A$1001, customers!$G$2:$G$1001, , 0, 1)</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Large</v>
      </c>
      <c r="P347" t="str">
        <f>_xlfn.XLOOKUP(Orders[[#This Row],[Customer ID]],customers!$A$1:$A$1001,customers!$I$1:$I$1001,"",0)</f>
        <v>No</v>
      </c>
    </row>
    <row r="348" spans="1:16" x14ac:dyDescent="0.3">
      <c r="A348" s="2" t="s">
        <v>2440</v>
      </c>
      <c r="B348" s="3">
        <v>44344</v>
      </c>
      <c r="C348" s="2" t="s">
        <v>2441</v>
      </c>
      <c r="D348" t="s">
        <v>6180</v>
      </c>
      <c r="E348" s="2">
        <v>3</v>
      </c>
      <c r="F348" t="str">
        <f>_xlfn.XLOOKUP(C348, customers!$A$2:$A$1001, customers!$B$2:$B$1001, , 0, 1)</f>
        <v>Rebeka Worg</v>
      </c>
      <c r="G348" s="2" t="str">
        <f>IF(_xlfn.XLOOKUP(C348,customers!$A$2:$A$1001,customers!$C$2:$C$1001,,0,1)=0,"",_xlfn.XLOOKUP(C348,customers!$A$2:$A$1001,customers!$C$2:$C$1001,,0,1))</f>
        <v>rworg9m@arstechnica.com</v>
      </c>
      <c r="H348" s="2" t="str">
        <f>_xlfn.XLOOKUP(C348, customers!$A$2:$A$1001, customers!$G$2:$G$1001, , 0, 1)</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Large</v>
      </c>
      <c r="P348" t="str">
        <f>_xlfn.XLOOKUP(Orders[[#This Row],[Customer ID]],customers!$A$1:$A$1001,customers!$I$1:$I$1001,"",0)</f>
        <v>Yes</v>
      </c>
    </row>
    <row r="349" spans="1:16" x14ac:dyDescent="0.3">
      <c r="A349" s="2" t="s">
        <v>2446</v>
      </c>
      <c r="B349" s="3">
        <v>44576</v>
      </c>
      <c r="C349" s="2" t="s">
        <v>2447</v>
      </c>
      <c r="D349" t="s">
        <v>6162</v>
      </c>
      <c r="E349" s="2">
        <v>3</v>
      </c>
      <c r="F349" t="str">
        <f>_xlfn.XLOOKUP(C349, customers!$A$2:$A$1001, customers!$B$2:$B$1001, , 0, 1)</f>
        <v>Lewes Danes</v>
      </c>
      <c r="G349" s="2" t="str">
        <f>IF(_xlfn.XLOOKUP(C349,customers!$A$2:$A$1001,customers!$C$2:$C$1001,,0,1)=0,"",_xlfn.XLOOKUP(C349,customers!$A$2:$A$1001,customers!$C$2:$C$1001,,0,1))</f>
        <v>ldanes9n@umn.edu</v>
      </c>
      <c r="H349" s="2" t="str">
        <f>_xlfn.XLOOKUP(C349, customers!$A$2:$A$1001, customers!$G$2:$G$1001, , 0, 1)</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t="str">
        <f>_xlfn.XLOOKUP(C350, customers!$A$2:$A$1001, customers!$B$2:$B$1001, , 0, 1)</f>
        <v>Shelli Keynd</v>
      </c>
      <c r="G350" s="2" t="str">
        <f>IF(_xlfn.XLOOKUP(C350,customers!$A$2:$A$1001,customers!$C$2:$C$1001,,0,1)=0,"",_xlfn.XLOOKUP(C350,customers!$A$2:$A$1001,customers!$C$2:$C$1001,,0,1))</f>
        <v>skeynd9o@narod.ru</v>
      </c>
      <c r="H350" s="2" t="str">
        <f>_xlfn.XLOOKUP(C350, customers!$A$2:$A$1001, customers!$G$2:$G$1001, , 0, 1)</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Large</v>
      </c>
      <c r="P350" t="str">
        <f>_xlfn.XLOOKUP(Orders[[#This Row],[Customer ID]],customers!$A$1:$A$1001,customers!$I$1:$I$1001,"",0)</f>
        <v>No</v>
      </c>
    </row>
    <row r="351" spans="1:16" x14ac:dyDescent="0.3">
      <c r="A351" s="2" t="s">
        <v>2458</v>
      </c>
      <c r="B351" s="3">
        <v>44743</v>
      </c>
      <c r="C351" s="2" t="s">
        <v>2459</v>
      </c>
      <c r="D351" t="s">
        <v>6178</v>
      </c>
      <c r="E351" s="2">
        <v>4</v>
      </c>
      <c r="F351" t="str">
        <f>_xlfn.XLOOKUP(C351, customers!$A$2:$A$1001, customers!$B$2:$B$1001, , 0, 1)</f>
        <v>Dell Daveridge</v>
      </c>
      <c r="G351" s="2" t="str">
        <f>IF(_xlfn.XLOOKUP(C351,customers!$A$2:$A$1001,customers!$C$2:$C$1001,,0,1)=0,"",_xlfn.XLOOKUP(C351,customers!$A$2:$A$1001,customers!$C$2:$C$1001,,0,1))</f>
        <v>ddaveridge9p@arstechnica.com</v>
      </c>
      <c r="H351" s="2" t="str">
        <f>_xlfn.XLOOKUP(C351, customers!$A$2:$A$1001, customers!$G$2:$G$1001, , 0, 1)</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Large</v>
      </c>
      <c r="P351" t="str">
        <f>_xlfn.XLOOKUP(Orders[[#This Row],[Customer ID]],customers!$A$1:$A$1001,customers!$I$1:$I$1001,"",0)</f>
        <v>No</v>
      </c>
    </row>
    <row r="352" spans="1:16" x14ac:dyDescent="0.3">
      <c r="A352" s="2" t="s">
        <v>2464</v>
      </c>
      <c r="B352" s="3">
        <v>43592</v>
      </c>
      <c r="C352" s="2" t="s">
        <v>2465</v>
      </c>
      <c r="D352" t="s">
        <v>6158</v>
      </c>
      <c r="E352" s="2">
        <v>4</v>
      </c>
      <c r="F352" t="str">
        <f>_xlfn.XLOOKUP(C352, customers!$A$2:$A$1001, customers!$B$2:$B$1001, , 0, 1)</f>
        <v>Joshuah Awdry</v>
      </c>
      <c r="G352" s="2" t="str">
        <f>IF(_xlfn.XLOOKUP(C352,customers!$A$2:$A$1001,customers!$C$2:$C$1001,,0,1)=0,"",_xlfn.XLOOKUP(C352,customers!$A$2:$A$1001,customers!$C$2:$C$1001,,0,1))</f>
        <v>jawdry9q@utexas.edu</v>
      </c>
      <c r="H352" s="2" t="str">
        <f>_xlfn.XLOOKUP(C352, customers!$A$2:$A$1001, customers!$G$2:$G$1001, , 0, 1)</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t="str">
        <f>_xlfn.XLOOKUP(C353, customers!$A$2:$A$1001, customers!$B$2:$B$1001, , 0, 1)</f>
        <v>Ethel Ryles</v>
      </c>
      <c r="G353" s="2" t="str">
        <f>IF(_xlfn.XLOOKUP(C353,customers!$A$2:$A$1001,customers!$C$2:$C$1001,,0,1)=0,"",_xlfn.XLOOKUP(C353,customers!$A$2:$A$1001,customers!$C$2:$C$1001,,0,1))</f>
        <v>eryles9r@fastcompany.com</v>
      </c>
      <c r="H353" s="2" t="str">
        <f>_xlfn.XLOOKUP(C353, customers!$A$2:$A$1001, customers!$G$2:$G$1001, , 0, 1)</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t="str">
        <f>_xlfn.XLOOKUP(C354, customers!$A$2:$A$1001, customers!$B$2:$B$1001, , 0, 1)</f>
        <v>Flynn Antony</v>
      </c>
      <c r="G354" s="2" t="str">
        <f>IF(_xlfn.XLOOKUP(C354,customers!$A$2:$A$1001,customers!$C$2:$C$1001,,0,1)=0,"",_xlfn.XLOOKUP(C354,customers!$A$2:$A$1001,customers!$C$2:$C$1001,,0,1))</f>
        <v/>
      </c>
      <c r="H354" s="2" t="str">
        <f>_xlfn.XLOOKUP(C354, customers!$A$2:$A$1001, customers!$G$2:$G$1001, , 0, 1)</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t="str">
        <f>_xlfn.XLOOKUP(C355, customers!$A$2:$A$1001, customers!$B$2:$B$1001, , 0, 1)</f>
        <v>Maitilde Boxill</v>
      </c>
      <c r="G355" s="2" t="str">
        <f>IF(_xlfn.XLOOKUP(C355,customers!$A$2:$A$1001,customers!$C$2:$C$1001,,0,1)=0,"",_xlfn.XLOOKUP(C355,customers!$A$2:$A$1001,customers!$C$2:$C$1001,,0,1))</f>
        <v/>
      </c>
      <c r="H355" s="2" t="str">
        <f>_xlfn.XLOOKUP(C355, customers!$A$2:$A$1001, customers!$G$2:$G$1001, , 0, 1)</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t="str">
        <f>_xlfn.XLOOKUP(C356, customers!$A$2:$A$1001, customers!$B$2:$B$1001, , 0, 1)</f>
        <v>Jodee Caldicott</v>
      </c>
      <c r="G356" s="2" t="str">
        <f>IF(_xlfn.XLOOKUP(C356,customers!$A$2:$A$1001,customers!$C$2:$C$1001,,0,1)=0,"",_xlfn.XLOOKUP(C356,customers!$A$2:$A$1001,customers!$C$2:$C$1001,,0,1))</f>
        <v>jcaldicott9u@usda.gov</v>
      </c>
      <c r="H356" s="2" t="str">
        <f>_xlfn.XLOOKUP(C356, customers!$A$2:$A$1001, customers!$G$2:$G$1001, , 0, 1)</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t="str">
        <f>_xlfn.XLOOKUP(C357, customers!$A$2:$A$1001, customers!$B$2:$B$1001, , 0, 1)</f>
        <v>Marianna Vedmore</v>
      </c>
      <c r="G357" s="2" t="str">
        <f>IF(_xlfn.XLOOKUP(C357,customers!$A$2:$A$1001,customers!$C$2:$C$1001,,0,1)=0,"",_xlfn.XLOOKUP(C357,customers!$A$2:$A$1001,customers!$C$2:$C$1001,,0,1))</f>
        <v>mvedmore9v@a8.net</v>
      </c>
      <c r="H357" s="2" t="str">
        <f>_xlfn.XLOOKUP(C357, customers!$A$2:$A$1001, customers!$G$2:$G$1001, , 0, 1)</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t="str">
        <f>_xlfn.XLOOKUP(C358, customers!$A$2:$A$1001, customers!$B$2:$B$1001, , 0, 1)</f>
        <v>Willey Romao</v>
      </c>
      <c r="G358" s="2" t="str">
        <f>IF(_xlfn.XLOOKUP(C358,customers!$A$2:$A$1001,customers!$C$2:$C$1001,,0,1)=0,"",_xlfn.XLOOKUP(C358,customers!$A$2:$A$1001,customers!$C$2:$C$1001,,0,1))</f>
        <v>wromao9w@chronoengine.com</v>
      </c>
      <c r="H358" s="2" t="str">
        <f>_xlfn.XLOOKUP(C358, customers!$A$2:$A$1001, customers!$G$2:$G$1001, , 0, 1)</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t="str">
        <f>_xlfn.XLOOKUP(C359, customers!$A$2:$A$1001, customers!$B$2:$B$1001, , 0, 1)</f>
        <v>Enriqueta Ixor</v>
      </c>
      <c r="G359" s="2" t="str">
        <f>IF(_xlfn.XLOOKUP(C359,customers!$A$2:$A$1001,customers!$C$2:$C$1001,,0,1)=0,"",_xlfn.XLOOKUP(C359,customers!$A$2:$A$1001,customers!$C$2:$C$1001,,0,1))</f>
        <v/>
      </c>
      <c r="H359" s="2" t="str">
        <f>_xlfn.XLOOKUP(C359, customers!$A$2:$A$1001, customers!$G$2:$G$1001, , 0, 1)</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t="str">
        <f>_xlfn.XLOOKUP(C360, customers!$A$2:$A$1001, customers!$B$2:$B$1001, , 0, 1)</f>
        <v>Tomasina Cotmore</v>
      </c>
      <c r="G360" s="2" t="str">
        <f>IF(_xlfn.XLOOKUP(C360,customers!$A$2:$A$1001,customers!$C$2:$C$1001,,0,1)=0,"",_xlfn.XLOOKUP(C360,customers!$A$2:$A$1001,customers!$C$2:$C$1001,,0,1))</f>
        <v>tcotmore9y@amazonaws.com</v>
      </c>
      <c r="H360" s="2" t="str">
        <f>_xlfn.XLOOKUP(C360, customers!$A$2:$A$1001, customers!$G$2:$G$1001, , 0, 1)</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Large</v>
      </c>
      <c r="P360" t="str">
        <f>_xlfn.XLOOKUP(Orders[[#This Row],[Customer ID]],customers!$A$1:$A$1001,customers!$I$1:$I$1001,"",0)</f>
        <v>No</v>
      </c>
    </row>
    <row r="361" spans="1:16" x14ac:dyDescent="0.3">
      <c r="A361" s="2" t="s">
        <v>2515</v>
      </c>
      <c r="B361" s="3">
        <v>43563</v>
      </c>
      <c r="C361" s="2" t="s">
        <v>2516</v>
      </c>
      <c r="D361" t="s">
        <v>6178</v>
      </c>
      <c r="E361" s="2">
        <v>6</v>
      </c>
      <c r="F361" t="str">
        <f>_xlfn.XLOOKUP(C361, customers!$A$2:$A$1001, customers!$B$2:$B$1001, , 0, 1)</f>
        <v>Yuma Skipsey</v>
      </c>
      <c r="G361" s="2" t="str">
        <f>IF(_xlfn.XLOOKUP(C361,customers!$A$2:$A$1001,customers!$C$2:$C$1001,,0,1)=0,"",_xlfn.XLOOKUP(C361,customers!$A$2:$A$1001,customers!$C$2:$C$1001,,0,1))</f>
        <v>yskipsey9z@spotify.com</v>
      </c>
      <c r="H361" s="2" t="str">
        <f>_xlfn.XLOOKUP(C361, customers!$A$2:$A$1001, customers!$G$2:$G$1001, , 0, 1)</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Large</v>
      </c>
      <c r="P361" t="str">
        <f>_xlfn.XLOOKUP(Orders[[#This Row],[Customer ID]],customers!$A$1:$A$1001,customers!$I$1:$I$1001,"",0)</f>
        <v>No</v>
      </c>
    </row>
    <row r="362" spans="1:16" x14ac:dyDescent="0.3">
      <c r="A362" s="2" t="s">
        <v>2521</v>
      </c>
      <c r="B362" s="3">
        <v>44058</v>
      </c>
      <c r="C362" s="2" t="s">
        <v>2522</v>
      </c>
      <c r="D362" t="s">
        <v>6149</v>
      </c>
      <c r="E362" s="2">
        <v>2</v>
      </c>
      <c r="F362" t="str">
        <f>_xlfn.XLOOKUP(C362, customers!$A$2:$A$1001, customers!$B$2:$B$1001, , 0, 1)</f>
        <v>Nicko Corps</v>
      </c>
      <c r="G362" s="2" t="str">
        <f>IF(_xlfn.XLOOKUP(C362,customers!$A$2:$A$1001,customers!$C$2:$C$1001,,0,1)=0,"",_xlfn.XLOOKUP(C362,customers!$A$2:$A$1001,customers!$C$2:$C$1001,,0,1))</f>
        <v>ncorpsa0@gmpg.org</v>
      </c>
      <c r="H362" s="2" t="str">
        <f>_xlfn.XLOOKUP(C362, customers!$A$2:$A$1001, customers!$G$2:$G$1001, , 0, 1)</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t="str">
        <f>_xlfn.XLOOKUP(C363, customers!$A$2:$A$1001, customers!$B$2:$B$1001, , 0, 1)</f>
        <v>Nicko Corps</v>
      </c>
      <c r="G363" s="2" t="str">
        <f>IF(_xlfn.XLOOKUP(C363,customers!$A$2:$A$1001,customers!$C$2:$C$1001,,0,1)=0,"",_xlfn.XLOOKUP(C363,customers!$A$2:$A$1001,customers!$C$2:$C$1001,,0,1))</f>
        <v>ncorpsa0@gmpg.org</v>
      </c>
      <c r="H363" s="2" t="str">
        <f>_xlfn.XLOOKUP(C363, customers!$A$2:$A$1001, customers!$G$2:$G$1001, , 0, 1)</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t="str">
        <f>_xlfn.XLOOKUP(C364, customers!$A$2:$A$1001, customers!$B$2:$B$1001, , 0, 1)</f>
        <v>Feliks Babber</v>
      </c>
      <c r="G364" s="2" t="str">
        <f>IF(_xlfn.XLOOKUP(C364,customers!$A$2:$A$1001,customers!$C$2:$C$1001,,0,1)=0,"",_xlfn.XLOOKUP(C364,customers!$A$2:$A$1001,customers!$C$2:$C$1001,,0,1))</f>
        <v>fbabbera2@stanford.edu</v>
      </c>
      <c r="H364" s="2" t="str">
        <f>_xlfn.XLOOKUP(C364, customers!$A$2:$A$1001, customers!$G$2:$G$1001, , 0, 1)</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Large</v>
      </c>
      <c r="P364" t="str">
        <f>_xlfn.XLOOKUP(Orders[[#This Row],[Customer ID]],customers!$A$1:$A$1001,customers!$I$1:$I$1001,"",0)</f>
        <v>Yes</v>
      </c>
    </row>
    <row r="365" spans="1:16" x14ac:dyDescent="0.3">
      <c r="A365" s="2" t="s">
        <v>2538</v>
      </c>
      <c r="B365" s="3">
        <v>44282</v>
      </c>
      <c r="C365" s="2" t="s">
        <v>2539</v>
      </c>
      <c r="D365" t="s">
        <v>6162</v>
      </c>
      <c r="E365" s="2">
        <v>6</v>
      </c>
      <c r="F365" t="str">
        <f>_xlfn.XLOOKUP(C365, customers!$A$2:$A$1001, customers!$B$2:$B$1001, , 0, 1)</f>
        <v>Kaja Loxton</v>
      </c>
      <c r="G365" s="2" t="str">
        <f>IF(_xlfn.XLOOKUP(C365,customers!$A$2:$A$1001,customers!$C$2:$C$1001,,0,1)=0,"",_xlfn.XLOOKUP(C365,customers!$A$2:$A$1001,customers!$C$2:$C$1001,,0,1))</f>
        <v>kloxtona3@opensource.org</v>
      </c>
      <c r="H365" s="2" t="str">
        <f>_xlfn.XLOOKUP(C365, customers!$A$2:$A$1001, customers!$G$2:$G$1001, , 0, 1)</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t="str">
        <f>_xlfn.XLOOKUP(C366, customers!$A$2:$A$1001, customers!$B$2:$B$1001, , 0, 1)</f>
        <v>Parker Tofful</v>
      </c>
      <c r="G366" s="2" t="str">
        <f>IF(_xlfn.XLOOKUP(C366,customers!$A$2:$A$1001,customers!$C$2:$C$1001,,0,1)=0,"",_xlfn.XLOOKUP(C366,customers!$A$2:$A$1001,customers!$C$2:$C$1001,,0,1))</f>
        <v>ptoffula4@posterous.com</v>
      </c>
      <c r="H366" s="2" t="str">
        <f>_xlfn.XLOOKUP(C366, customers!$A$2:$A$1001, customers!$G$2:$G$1001, , 0, 1)</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t="str">
        <f>_xlfn.XLOOKUP(C367, customers!$A$2:$A$1001, customers!$B$2:$B$1001, , 0, 1)</f>
        <v>Casi Gwinnett</v>
      </c>
      <c r="G367" s="2" t="str">
        <f>IF(_xlfn.XLOOKUP(C367,customers!$A$2:$A$1001,customers!$C$2:$C$1001,,0,1)=0,"",_xlfn.XLOOKUP(C367,customers!$A$2:$A$1001,customers!$C$2:$C$1001,,0,1))</f>
        <v>cgwinnetta5@behance.net</v>
      </c>
      <c r="H367" s="2" t="str">
        <f>_xlfn.XLOOKUP(C367, customers!$A$2:$A$1001, customers!$G$2:$G$1001, , 0, 1)</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t="str">
        <f>_xlfn.XLOOKUP(C368, customers!$A$2:$A$1001, customers!$B$2:$B$1001, , 0, 1)</f>
        <v>Saree Ellesworth</v>
      </c>
      <c r="G368" s="2" t="str">
        <f>IF(_xlfn.XLOOKUP(C368,customers!$A$2:$A$1001,customers!$C$2:$C$1001,,0,1)=0,"",_xlfn.XLOOKUP(C368,customers!$A$2:$A$1001,customers!$C$2:$C$1001,,0,1))</f>
        <v/>
      </c>
      <c r="H368" s="2" t="str">
        <f>_xlfn.XLOOKUP(C368, customers!$A$2:$A$1001, customers!$G$2:$G$1001, , 0, 1)</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t="str">
        <f>_xlfn.XLOOKUP(C369, customers!$A$2:$A$1001, customers!$B$2:$B$1001, , 0, 1)</f>
        <v>Silvio Iorizzi</v>
      </c>
      <c r="G369" s="2" t="str">
        <f>IF(_xlfn.XLOOKUP(C369,customers!$A$2:$A$1001,customers!$C$2:$C$1001,,0,1)=0,"",_xlfn.XLOOKUP(C369,customers!$A$2:$A$1001,customers!$C$2:$C$1001,,0,1))</f>
        <v/>
      </c>
      <c r="H369" s="2" t="str">
        <f>_xlfn.XLOOKUP(C369, customers!$A$2:$A$1001, customers!$G$2:$G$1001, , 0, 1)</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t="str">
        <f>_xlfn.XLOOKUP(C370, customers!$A$2:$A$1001, customers!$B$2:$B$1001, , 0, 1)</f>
        <v>Leesa Flaonier</v>
      </c>
      <c r="G370" s="2" t="str">
        <f>IF(_xlfn.XLOOKUP(C370,customers!$A$2:$A$1001,customers!$C$2:$C$1001,,0,1)=0,"",_xlfn.XLOOKUP(C370,customers!$A$2:$A$1001,customers!$C$2:$C$1001,,0,1))</f>
        <v>lflaoniera8@wordpress.org</v>
      </c>
      <c r="H370" s="2" t="str">
        <f>_xlfn.XLOOKUP(C370, customers!$A$2:$A$1001, customers!$G$2:$G$1001, , 0, 1)</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t="str">
        <f>_xlfn.XLOOKUP(C371, customers!$A$2:$A$1001, customers!$B$2:$B$1001, , 0, 1)</f>
        <v>Abba Pummell</v>
      </c>
      <c r="G371" s="2" t="str">
        <f>IF(_xlfn.XLOOKUP(C371,customers!$A$2:$A$1001,customers!$C$2:$C$1001,,0,1)=0,"",_xlfn.XLOOKUP(C371,customers!$A$2:$A$1001,customers!$C$2:$C$1001,,0,1))</f>
        <v/>
      </c>
      <c r="H371" s="2" t="str">
        <f>_xlfn.XLOOKUP(C371, customers!$A$2:$A$1001, customers!$G$2:$G$1001, , 0, 1)</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Large</v>
      </c>
      <c r="P371" t="str">
        <f>_xlfn.XLOOKUP(Orders[[#This Row],[Customer ID]],customers!$A$1:$A$1001,customers!$I$1:$I$1001,"",0)</f>
        <v>Yes</v>
      </c>
    </row>
    <row r="372" spans="1:16" x14ac:dyDescent="0.3">
      <c r="A372" s="2" t="s">
        <v>2573</v>
      </c>
      <c r="B372" s="3">
        <v>43501</v>
      </c>
      <c r="C372" s="2" t="s">
        <v>2574</v>
      </c>
      <c r="D372" t="s">
        <v>6183</v>
      </c>
      <c r="E372" s="2">
        <v>2</v>
      </c>
      <c r="F372" t="str">
        <f>_xlfn.XLOOKUP(C372, customers!$A$2:$A$1001, customers!$B$2:$B$1001, , 0, 1)</f>
        <v>Corinna Catcheside</v>
      </c>
      <c r="G372" s="2" t="str">
        <f>IF(_xlfn.XLOOKUP(C372,customers!$A$2:$A$1001,customers!$C$2:$C$1001,,0,1)=0,"",_xlfn.XLOOKUP(C372,customers!$A$2:$A$1001,customers!$C$2:$C$1001,,0,1))</f>
        <v>ccatchesideaa@macromedia.com</v>
      </c>
      <c r="H372" s="2" t="str">
        <f>_xlfn.XLOOKUP(C372, customers!$A$2:$A$1001, customers!$G$2:$G$1001, , 0, 1)</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t="str">
        <f>_xlfn.XLOOKUP(C373, customers!$A$2:$A$1001, customers!$B$2:$B$1001, , 0, 1)</f>
        <v>Cortney Gibbonson</v>
      </c>
      <c r="G373" s="2" t="str">
        <f>IF(_xlfn.XLOOKUP(C373,customers!$A$2:$A$1001,customers!$C$2:$C$1001,,0,1)=0,"",_xlfn.XLOOKUP(C373,customers!$A$2:$A$1001,customers!$C$2:$C$1001,,0,1))</f>
        <v>cgibbonsonab@accuweather.com</v>
      </c>
      <c r="H373" s="2" t="str">
        <f>_xlfn.XLOOKUP(C373, customers!$A$2:$A$1001, customers!$G$2:$G$1001, , 0, 1)</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Large</v>
      </c>
      <c r="P373" t="str">
        <f>_xlfn.XLOOKUP(Orders[[#This Row],[Customer ID]],customers!$A$1:$A$1001,customers!$I$1:$I$1001,"",0)</f>
        <v>Yes</v>
      </c>
    </row>
    <row r="374" spans="1:16" x14ac:dyDescent="0.3">
      <c r="A374" s="2" t="s">
        <v>2585</v>
      </c>
      <c r="B374" s="3">
        <v>44108</v>
      </c>
      <c r="C374" s="2" t="s">
        <v>2586</v>
      </c>
      <c r="D374" t="s">
        <v>6173</v>
      </c>
      <c r="E374" s="2">
        <v>6</v>
      </c>
      <c r="F374" t="str">
        <f>_xlfn.XLOOKUP(C374, customers!$A$2:$A$1001, customers!$B$2:$B$1001, , 0, 1)</f>
        <v>Terri Farra</v>
      </c>
      <c r="G374" s="2" t="str">
        <f>IF(_xlfn.XLOOKUP(C374,customers!$A$2:$A$1001,customers!$C$2:$C$1001,,0,1)=0,"",_xlfn.XLOOKUP(C374,customers!$A$2:$A$1001,customers!$C$2:$C$1001,,0,1))</f>
        <v>tfarraac@behance.net</v>
      </c>
      <c r="H374" s="2" t="str">
        <f>_xlfn.XLOOKUP(C374, customers!$A$2:$A$1001, customers!$G$2:$G$1001, , 0, 1)</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Large</v>
      </c>
      <c r="P374" t="str">
        <f>_xlfn.XLOOKUP(Orders[[#This Row],[Customer ID]],customers!$A$1:$A$1001,customers!$I$1:$I$1001,"",0)</f>
        <v>No</v>
      </c>
    </row>
    <row r="375" spans="1:16" x14ac:dyDescent="0.3">
      <c r="A375" s="2" t="s">
        <v>2591</v>
      </c>
      <c r="B375" s="3">
        <v>44742</v>
      </c>
      <c r="C375" s="2" t="s">
        <v>2592</v>
      </c>
      <c r="D375" t="s">
        <v>6158</v>
      </c>
      <c r="E375" s="2">
        <v>3</v>
      </c>
      <c r="F375" t="str">
        <f>_xlfn.XLOOKUP(C375, customers!$A$2:$A$1001, customers!$B$2:$B$1001, , 0, 1)</f>
        <v>Corney Curme</v>
      </c>
      <c r="G375" s="2" t="str">
        <f>IF(_xlfn.XLOOKUP(C375,customers!$A$2:$A$1001,customers!$C$2:$C$1001,,0,1)=0,"",_xlfn.XLOOKUP(C375,customers!$A$2:$A$1001,customers!$C$2:$C$1001,,0,1))</f>
        <v/>
      </c>
      <c r="H375" s="2" t="str">
        <f>_xlfn.XLOOKUP(C375, customers!$A$2:$A$1001, customers!$G$2:$G$1001, , 0, 1)</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t="str">
        <f>_xlfn.XLOOKUP(C376, customers!$A$2:$A$1001, customers!$B$2:$B$1001, , 0, 1)</f>
        <v>Gothart Bamfield</v>
      </c>
      <c r="G376" s="2" t="str">
        <f>IF(_xlfn.XLOOKUP(C376,customers!$A$2:$A$1001,customers!$C$2:$C$1001,,0,1)=0,"",_xlfn.XLOOKUP(C376,customers!$A$2:$A$1001,customers!$C$2:$C$1001,,0,1))</f>
        <v>gbamfieldae@yellowpages.com</v>
      </c>
      <c r="H376" s="2" t="str">
        <f>_xlfn.XLOOKUP(C376, customers!$A$2:$A$1001, customers!$G$2:$G$1001, , 0, 1)</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Large</v>
      </c>
      <c r="P376" t="str">
        <f>_xlfn.XLOOKUP(Orders[[#This Row],[Customer ID]],customers!$A$1:$A$1001,customers!$I$1:$I$1001,"",0)</f>
        <v>Yes</v>
      </c>
    </row>
    <row r="377" spans="1:16" x14ac:dyDescent="0.3">
      <c r="A377" s="2" t="s">
        <v>2603</v>
      </c>
      <c r="B377" s="3">
        <v>44120</v>
      </c>
      <c r="C377" s="2" t="s">
        <v>2604</v>
      </c>
      <c r="D377" t="s">
        <v>6152</v>
      </c>
      <c r="E377" s="2">
        <v>2</v>
      </c>
      <c r="F377" t="str">
        <f>_xlfn.XLOOKUP(C377, customers!$A$2:$A$1001, customers!$B$2:$B$1001, , 0, 1)</f>
        <v>Waylin Hollingdale</v>
      </c>
      <c r="G377" s="2" t="str">
        <f>IF(_xlfn.XLOOKUP(C377,customers!$A$2:$A$1001,customers!$C$2:$C$1001,,0,1)=0,"",_xlfn.XLOOKUP(C377,customers!$A$2:$A$1001,customers!$C$2:$C$1001,,0,1))</f>
        <v>whollingdaleaf@about.me</v>
      </c>
      <c r="H377" s="2" t="str">
        <f>_xlfn.XLOOKUP(C377, customers!$A$2:$A$1001, customers!$G$2:$G$1001, , 0, 1)</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t="str">
        <f>_xlfn.XLOOKUP(C378, customers!$A$2:$A$1001, customers!$B$2:$B$1001, , 0, 1)</f>
        <v>Judd De Leek</v>
      </c>
      <c r="G378" s="2" t="str">
        <f>IF(_xlfn.XLOOKUP(C378,customers!$A$2:$A$1001,customers!$C$2:$C$1001,,0,1)=0,"",_xlfn.XLOOKUP(C378,customers!$A$2:$A$1001,customers!$C$2:$C$1001,,0,1))</f>
        <v>jdeag@xrea.com</v>
      </c>
      <c r="H378" s="2" t="str">
        <f>_xlfn.XLOOKUP(C378, customers!$A$2:$A$1001, customers!$G$2:$G$1001, , 0, 1)</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t="str">
        <f>_xlfn.XLOOKUP(C379, customers!$A$2:$A$1001, customers!$B$2:$B$1001, , 0, 1)</f>
        <v>Vanya Skullet</v>
      </c>
      <c r="G379" s="2" t="str">
        <f>IF(_xlfn.XLOOKUP(C379,customers!$A$2:$A$1001,customers!$C$2:$C$1001,,0,1)=0,"",_xlfn.XLOOKUP(C379,customers!$A$2:$A$1001,customers!$C$2:$C$1001,,0,1))</f>
        <v>vskulletah@tinyurl.com</v>
      </c>
      <c r="H379" s="2" t="str">
        <f>_xlfn.XLOOKUP(C379, customers!$A$2:$A$1001, customers!$G$2:$G$1001, , 0, 1)</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t="str">
        <f>_xlfn.XLOOKUP(C380, customers!$A$2:$A$1001, customers!$B$2:$B$1001, , 0, 1)</f>
        <v>Jany Rudeforth</v>
      </c>
      <c r="G380" s="2" t="str">
        <f>IF(_xlfn.XLOOKUP(C380,customers!$A$2:$A$1001,customers!$C$2:$C$1001,,0,1)=0,"",_xlfn.XLOOKUP(C380,customers!$A$2:$A$1001,customers!$C$2:$C$1001,,0,1))</f>
        <v>jrudeforthai@wunderground.com</v>
      </c>
      <c r="H380" s="2" t="str">
        <f>_xlfn.XLOOKUP(C380, customers!$A$2:$A$1001, customers!$G$2:$G$1001, , 0, 1)</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Large</v>
      </c>
      <c r="P380" t="str">
        <f>_xlfn.XLOOKUP(Orders[[#This Row],[Customer ID]],customers!$A$1:$A$1001,customers!$I$1:$I$1001,"",0)</f>
        <v>Yes</v>
      </c>
    </row>
    <row r="381" spans="1:16" x14ac:dyDescent="0.3">
      <c r="A381" s="2" t="s">
        <v>2627</v>
      </c>
      <c r="B381" s="3">
        <v>43690</v>
      </c>
      <c r="C381" s="2" t="s">
        <v>2628</v>
      </c>
      <c r="D381" t="s">
        <v>6173</v>
      </c>
      <c r="E381" s="2">
        <v>6</v>
      </c>
      <c r="F381" t="str">
        <f>_xlfn.XLOOKUP(C381, customers!$A$2:$A$1001, customers!$B$2:$B$1001, , 0, 1)</f>
        <v>Ashbey Tomaszewski</v>
      </c>
      <c r="G381" s="2" t="str">
        <f>IF(_xlfn.XLOOKUP(C381,customers!$A$2:$A$1001,customers!$C$2:$C$1001,,0,1)=0,"",_xlfn.XLOOKUP(C381,customers!$A$2:$A$1001,customers!$C$2:$C$1001,,0,1))</f>
        <v>atomaszewskiaj@answers.com</v>
      </c>
      <c r="H381" s="2" t="str">
        <f>_xlfn.XLOOKUP(C381, customers!$A$2:$A$1001, customers!$G$2:$G$1001, , 0, 1)</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Large</v>
      </c>
      <c r="P381" t="str">
        <f>_xlfn.XLOOKUP(Orders[[#This Row],[Customer ID]],customers!$A$1:$A$1001,customers!$I$1:$I$1001,"",0)</f>
        <v>Yes</v>
      </c>
    </row>
    <row r="382" spans="1:16" x14ac:dyDescent="0.3">
      <c r="A382" s="2" t="s">
        <v>2632</v>
      </c>
      <c r="B382" s="3">
        <v>44249</v>
      </c>
      <c r="C382" s="2" t="s">
        <v>2331</v>
      </c>
      <c r="D382" t="s">
        <v>6169</v>
      </c>
      <c r="E382" s="2">
        <v>3</v>
      </c>
      <c r="F382" t="str">
        <f>_xlfn.XLOOKUP(C382, customers!$A$2:$A$1001, customers!$B$2:$B$1001, , 0, 1)</f>
        <v>Flynn Antony</v>
      </c>
      <c r="G382" s="2" t="str">
        <f>IF(_xlfn.XLOOKUP(C382,customers!$A$2:$A$1001,customers!$C$2:$C$1001,,0,1)=0,"",_xlfn.XLOOKUP(C382,customers!$A$2:$A$1001,customers!$C$2:$C$1001,,0,1))</f>
        <v/>
      </c>
      <c r="H382" s="2" t="str">
        <f>_xlfn.XLOOKUP(C382, customers!$A$2:$A$1001, customers!$G$2:$G$1001, , 0, 1)</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t="str">
        <f>_xlfn.XLOOKUP(C383, customers!$A$2:$A$1001, customers!$B$2:$B$1001, , 0, 1)</f>
        <v>Pren Bess</v>
      </c>
      <c r="G383" s="2" t="str">
        <f>IF(_xlfn.XLOOKUP(C383,customers!$A$2:$A$1001,customers!$C$2:$C$1001,,0,1)=0,"",_xlfn.XLOOKUP(C383,customers!$A$2:$A$1001,customers!$C$2:$C$1001,,0,1))</f>
        <v>pbessal@qq.com</v>
      </c>
      <c r="H383" s="2" t="str">
        <f>_xlfn.XLOOKUP(C383, customers!$A$2:$A$1001, customers!$G$2:$G$1001, , 0, 1)</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t="str">
        <f>_xlfn.XLOOKUP(C384, customers!$A$2:$A$1001, customers!$B$2:$B$1001, , 0, 1)</f>
        <v>Elka Windress</v>
      </c>
      <c r="G384" s="2" t="str">
        <f>IF(_xlfn.XLOOKUP(C384,customers!$A$2:$A$1001,customers!$C$2:$C$1001,,0,1)=0,"",_xlfn.XLOOKUP(C384,customers!$A$2:$A$1001,customers!$C$2:$C$1001,,0,1))</f>
        <v>ewindressam@marketwatch.com</v>
      </c>
      <c r="H384" s="2" t="str">
        <f>_xlfn.XLOOKUP(C384, customers!$A$2:$A$1001, customers!$G$2:$G$1001, , 0, 1)</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t="str">
        <f>_xlfn.XLOOKUP(C385, customers!$A$2:$A$1001, customers!$B$2:$B$1001, , 0, 1)</f>
        <v>Marty Kidstoun</v>
      </c>
      <c r="G385" s="2" t="str">
        <f>IF(_xlfn.XLOOKUP(C385,customers!$A$2:$A$1001,customers!$C$2:$C$1001,,0,1)=0,"",_xlfn.XLOOKUP(C385,customers!$A$2:$A$1001,customers!$C$2:$C$1001,,0,1))</f>
        <v/>
      </c>
      <c r="H385" s="2" t="str">
        <f>_xlfn.XLOOKUP(C385, customers!$A$2:$A$1001, customers!$G$2:$G$1001, , 0, 1)</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Large</v>
      </c>
      <c r="P385" t="str">
        <f>_xlfn.XLOOKUP(Orders[[#This Row],[Customer ID]],customers!$A$1:$A$1001,customers!$I$1:$I$1001,"",0)</f>
        <v>Yes</v>
      </c>
    </row>
    <row r="386" spans="1:16" x14ac:dyDescent="0.3">
      <c r="A386" s="2" t="s">
        <v>2655</v>
      </c>
      <c r="B386" s="3">
        <v>43870</v>
      </c>
      <c r="C386" s="2" t="s">
        <v>2656</v>
      </c>
      <c r="D386" t="s">
        <v>6182</v>
      </c>
      <c r="E386" s="2">
        <v>4</v>
      </c>
      <c r="F386" t="str">
        <f>_xlfn.XLOOKUP(C386, customers!$A$2:$A$1001, customers!$B$2:$B$1001, , 0, 1)</f>
        <v>Nickey Dimbleby</v>
      </c>
      <c r="G386" s="2" t="str">
        <f>IF(_xlfn.XLOOKUP(C386,customers!$A$2:$A$1001,customers!$C$2:$C$1001,,0,1)=0,"",_xlfn.XLOOKUP(C386,customers!$A$2:$A$1001,customers!$C$2:$C$1001,,0,1))</f>
        <v/>
      </c>
      <c r="H386" s="2" t="str">
        <f>_xlfn.XLOOKUP(C386, customers!$A$2:$A$1001, customers!$G$2:$G$1001, , 0, 1)</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Large</v>
      </c>
      <c r="P386" t="str">
        <f>_xlfn.XLOOKUP(Orders[[#This Row],[Customer ID]],customers!$A$1:$A$1001,customers!$I$1:$I$1001,"",0)</f>
        <v>No</v>
      </c>
    </row>
    <row r="387" spans="1:16" x14ac:dyDescent="0.3">
      <c r="A387" s="2" t="s">
        <v>2660</v>
      </c>
      <c r="B387" s="3">
        <v>44559</v>
      </c>
      <c r="C387" s="2" t="s">
        <v>2661</v>
      </c>
      <c r="D387" t="s">
        <v>6160</v>
      </c>
      <c r="E387" s="2">
        <v>5</v>
      </c>
      <c r="F387" t="str">
        <f>_xlfn.XLOOKUP(C387, customers!$A$2:$A$1001, customers!$B$2:$B$1001, , 0, 1)</f>
        <v>Virgil Baumadier</v>
      </c>
      <c r="G387" s="2" t="str">
        <f>IF(_xlfn.XLOOKUP(C387,customers!$A$2:$A$1001,customers!$C$2:$C$1001,,0,1)=0,"",_xlfn.XLOOKUP(C387,customers!$A$2:$A$1001,customers!$C$2:$C$1001,,0,1))</f>
        <v>vbaumadierap@google.cn</v>
      </c>
      <c r="H387" s="2" t="str">
        <f>_xlfn.XLOOKUP(C387, customers!$A$2:$A$1001, customers!$G$2:$G$1001, , 0, 1)</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IF(J387="M","Medium",IF(J387="L","Large",IF(J387="D","Dark","")))</f>
        <v>Medium</v>
      </c>
      <c r="P387" t="str">
        <f>_xlfn.XLOOKUP(Orders[[#This Row],[Customer ID]],customers!$A$1:$A$1001,customers!$I$1:$I$1001,"",0)</f>
        <v>Yes</v>
      </c>
    </row>
    <row r="388" spans="1:16" x14ac:dyDescent="0.3">
      <c r="A388" s="2" t="s">
        <v>2666</v>
      </c>
      <c r="B388" s="3">
        <v>44083</v>
      </c>
      <c r="C388" s="2" t="s">
        <v>2667</v>
      </c>
      <c r="D388" t="s">
        <v>6154</v>
      </c>
      <c r="E388" s="2">
        <v>6</v>
      </c>
      <c r="F388" t="str">
        <f>_xlfn.XLOOKUP(C388, customers!$A$2:$A$1001, customers!$B$2:$B$1001, , 0, 1)</f>
        <v>Lenore Messenbird</v>
      </c>
      <c r="G388" s="2" t="str">
        <f>IF(_xlfn.XLOOKUP(C388,customers!$A$2:$A$1001,customers!$C$2:$C$1001,,0,1)=0,"",_xlfn.XLOOKUP(C388,customers!$A$2:$A$1001,customers!$C$2:$C$1001,,0,1))</f>
        <v/>
      </c>
      <c r="H388" s="2" t="str">
        <f>_xlfn.XLOOKUP(C388, customers!$A$2:$A$1001, customers!$G$2:$G$1001, , 0, 1)</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t="str">
        <f>_xlfn.XLOOKUP(C389, customers!$A$2:$A$1001, customers!$B$2:$B$1001, , 0, 1)</f>
        <v>Shirleen Welds</v>
      </c>
      <c r="G389" s="2" t="str">
        <f>IF(_xlfn.XLOOKUP(C389,customers!$A$2:$A$1001,customers!$C$2:$C$1001,,0,1)=0,"",_xlfn.XLOOKUP(C389,customers!$A$2:$A$1001,customers!$C$2:$C$1001,,0,1))</f>
        <v>sweldsar@wired.com</v>
      </c>
      <c r="H389" s="2" t="str">
        <f>_xlfn.XLOOKUP(C389, customers!$A$2:$A$1001, customers!$G$2:$G$1001, , 0, 1)</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Large</v>
      </c>
      <c r="P389" t="str">
        <f>_xlfn.XLOOKUP(Orders[[#This Row],[Customer ID]],customers!$A$1:$A$1001,customers!$I$1:$I$1001,"",0)</f>
        <v>Yes</v>
      </c>
    </row>
    <row r="390" spans="1:16" x14ac:dyDescent="0.3">
      <c r="A390" s="2" t="s">
        <v>2677</v>
      </c>
      <c r="B390" s="3">
        <v>44130</v>
      </c>
      <c r="C390" s="2" t="s">
        <v>2678</v>
      </c>
      <c r="D390" t="s">
        <v>6150</v>
      </c>
      <c r="E390" s="2">
        <v>3</v>
      </c>
      <c r="F390" t="str">
        <f>_xlfn.XLOOKUP(C390, customers!$A$2:$A$1001, customers!$B$2:$B$1001, , 0, 1)</f>
        <v>Maisie Sarvar</v>
      </c>
      <c r="G390" s="2" t="str">
        <f>IF(_xlfn.XLOOKUP(C390,customers!$A$2:$A$1001,customers!$C$2:$C$1001,,0,1)=0,"",_xlfn.XLOOKUP(C390,customers!$A$2:$A$1001,customers!$C$2:$C$1001,,0,1))</f>
        <v>msarvaras@artisteer.com</v>
      </c>
      <c r="H390" s="2" t="str">
        <f>_xlfn.XLOOKUP(C390, customers!$A$2:$A$1001, customers!$G$2:$G$1001, , 0, 1)</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t="str">
        <f>_xlfn.XLOOKUP(C391, customers!$A$2:$A$1001, customers!$B$2:$B$1001, , 0, 1)</f>
        <v>Andrej Havick</v>
      </c>
      <c r="G391" s="2" t="str">
        <f>IF(_xlfn.XLOOKUP(C391,customers!$A$2:$A$1001,customers!$C$2:$C$1001,,0,1)=0,"",_xlfn.XLOOKUP(C391,customers!$A$2:$A$1001,customers!$C$2:$C$1001,,0,1))</f>
        <v>ahavickat@nsw.gov.au</v>
      </c>
      <c r="H391" s="2" t="str">
        <f>_xlfn.XLOOKUP(C391, customers!$A$2:$A$1001, customers!$G$2:$G$1001, , 0, 1)</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t="str">
        <f>_xlfn.XLOOKUP(C392, customers!$A$2:$A$1001, customers!$B$2:$B$1001, , 0, 1)</f>
        <v>Sloan Diviny</v>
      </c>
      <c r="G392" s="2" t="str">
        <f>IF(_xlfn.XLOOKUP(C392,customers!$A$2:$A$1001,customers!$C$2:$C$1001,,0,1)=0,"",_xlfn.XLOOKUP(C392,customers!$A$2:$A$1001,customers!$C$2:$C$1001,,0,1))</f>
        <v>sdivinyau@ask.com</v>
      </c>
      <c r="H392" s="2" t="str">
        <f>_xlfn.XLOOKUP(C392, customers!$A$2:$A$1001, customers!$G$2:$G$1001, , 0, 1)</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t="str">
        <f>_xlfn.XLOOKUP(C393, customers!$A$2:$A$1001, customers!$B$2:$B$1001, , 0, 1)</f>
        <v>Itch Norquoy</v>
      </c>
      <c r="G393" s="2" t="str">
        <f>IF(_xlfn.XLOOKUP(C393,customers!$A$2:$A$1001,customers!$C$2:$C$1001,,0,1)=0,"",_xlfn.XLOOKUP(C393,customers!$A$2:$A$1001,customers!$C$2:$C$1001,,0,1))</f>
        <v>inorquoyav@businessweek.com</v>
      </c>
      <c r="H393" s="2" t="str">
        <f>_xlfn.XLOOKUP(C393, customers!$A$2:$A$1001, customers!$G$2:$G$1001, , 0, 1)</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t="str">
        <f>_xlfn.XLOOKUP(C394, customers!$A$2:$A$1001, customers!$B$2:$B$1001, , 0, 1)</f>
        <v>Anson Iddison</v>
      </c>
      <c r="G394" s="2" t="str">
        <f>IF(_xlfn.XLOOKUP(C394,customers!$A$2:$A$1001,customers!$C$2:$C$1001,,0,1)=0,"",_xlfn.XLOOKUP(C394,customers!$A$2:$A$1001,customers!$C$2:$C$1001,,0,1))</f>
        <v>aiddisonaw@usa.gov</v>
      </c>
      <c r="H394" s="2" t="str">
        <f>_xlfn.XLOOKUP(C394, customers!$A$2:$A$1001, customers!$G$2:$G$1001, , 0, 1)</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Large</v>
      </c>
      <c r="P394" t="str">
        <f>_xlfn.XLOOKUP(Orders[[#This Row],[Customer ID]],customers!$A$1:$A$1001,customers!$I$1:$I$1001,"",0)</f>
        <v>No</v>
      </c>
    </row>
    <row r="395" spans="1:16" x14ac:dyDescent="0.3">
      <c r="A395" s="2" t="s">
        <v>2699</v>
      </c>
      <c r="B395" s="3">
        <v>44445</v>
      </c>
      <c r="C395" s="2" t="s">
        <v>2700</v>
      </c>
      <c r="D395" t="s">
        <v>6167</v>
      </c>
      <c r="E395" s="2">
        <v>1</v>
      </c>
      <c r="F395" t="str">
        <f>_xlfn.XLOOKUP(C395, customers!$A$2:$A$1001, customers!$B$2:$B$1001, , 0, 1)</f>
        <v>Anson Iddison</v>
      </c>
      <c r="G395" s="2" t="str">
        <f>IF(_xlfn.XLOOKUP(C395,customers!$A$2:$A$1001,customers!$C$2:$C$1001,,0,1)=0,"",_xlfn.XLOOKUP(C395,customers!$A$2:$A$1001,customers!$C$2:$C$1001,,0,1))</f>
        <v>aiddisonaw@usa.gov</v>
      </c>
      <c r="H395" s="2" t="str">
        <f>_xlfn.XLOOKUP(C395, customers!$A$2:$A$1001, customers!$G$2:$G$1001, , 0, 1)</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Large</v>
      </c>
      <c r="P395" t="str">
        <f>_xlfn.XLOOKUP(Orders[[#This Row],[Customer ID]],customers!$A$1:$A$1001,customers!$I$1:$I$1001,"",0)</f>
        <v>No</v>
      </c>
    </row>
    <row r="396" spans="1:16" x14ac:dyDescent="0.3">
      <c r="A396" s="2" t="s">
        <v>2710</v>
      </c>
      <c r="B396" s="3">
        <v>44083</v>
      </c>
      <c r="C396" s="2" t="s">
        <v>2711</v>
      </c>
      <c r="D396" t="s">
        <v>6142</v>
      </c>
      <c r="E396" s="2">
        <v>4</v>
      </c>
      <c r="F396" t="str">
        <f>_xlfn.XLOOKUP(C396, customers!$A$2:$A$1001, customers!$B$2:$B$1001, , 0, 1)</f>
        <v>Randal Longfield</v>
      </c>
      <c r="G396" s="2" t="str">
        <f>IF(_xlfn.XLOOKUP(C396,customers!$A$2:$A$1001,customers!$C$2:$C$1001,,0,1)=0,"",_xlfn.XLOOKUP(C396,customers!$A$2:$A$1001,customers!$C$2:$C$1001,,0,1))</f>
        <v>rlongfielday@bluehost.com</v>
      </c>
      <c r="H396" s="2" t="str">
        <f>_xlfn.XLOOKUP(C396, customers!$A$2:$A$1001, customers!$G$2:$G$1001, , 0, 1)</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Large</v>
      </c>
      <c r="P396" t="str">
        <f>_xlfn.XLOOKUP(Orders[[#This Row],[Customer ID]],customers!$A$1:$A$1001,customers!$I$1:$I$1001,"",0)</f>
        <v>No</v>
      </c>
    </row>
    <row r="397" spans="1:16" x14ac:dyDescent="0.3">
      <c r="A397" s="2" t="s">
        <v>2716</v>
      </c>
      <c r="B397" s="3">
        <v>44465</v>
      </c>
      <c r="C397" s="2" t="s">
        <v>2717</v>
      </c>
      <c r="D397" t="s">
        <v>6169</v>
      </c>
      <c r="E397" s="2">
        <v>6</v>
      </c>
      <c r="F397" t="str">
        <f>_xlfn.XLOOKUP(C397, customers!$A$2:$A$1001, customers!$B$2:$B$1001, , 0, 1)</f>
        <v>Gregorius Kislingbury</v>
      </c>
      <c r="G397" s="2" t="str">
        <f>IF(_xlfn.XLOOKUP(C397,customers!$A$2:$A$1001,customers!$C$2:$C$1001,,0,1)=0,"",_xlfn.XLOOKUP(C397,customers!$A$2:$A$1001,customers!$C$2:$C$1001,,0,1))</f>
        <v>gkislingburyaz@samsung.com</v>
      </c>
      <c r="H397" s="2" t="str">
        <f>_xlfn.XLOOKUP(C397, customers!$A$2:$A$1001, customers!$G$2:$G$1001, , 0, 1)</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t="str">
        <f>_xlfn.XLOOKUP(C398, customers!$A$2:$A$1001, customers!$B$2:$B$1001, , 0, 1)</f>
        <v>Xenos Gibbons</v>
      </c>
      <c r="G398" s="2" t="str">
        <f>IF(_xlfn.XLOOKUP(C398,customers!$A$2:$A$1001,customers!$C$2:$C$1001,,0,1)=0,"",_xlfn.XLOOKUP(C398,customers!$A$2:$A$1001,customers!$C$2:$C$1001,,0,1))</f>
        <v>xgibbonsb0@artisteer.com</v>
      </c>
      <c r="H398" s="2" t="str">
        <f>_xlfn.XLOOKUP(C398, customers!$A$2:$A$1001, customers!$G$2:$G$1001, , 0, 1)</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Large</v>
      </c>
      <c r="P398" t="str">
        <f>_xlfn.XLOOKUP(Orders[[#This Row],[Customer ID]],customers!$A$1:$A$1001,customers!$I$1:$I$1001,"",0)</f>
        <v>No</v>
      </c>
    </row>
    <row r="399" spans="1:16" x14ac:dyDescent="0.3">
      <c r="A399" s="2" t="s">
        <v>2727</v>
      </c>
      <c r="B399" s="3">
        <v>43720</v>
      </c>
      <c r="C399" s="2" t="s">
        <v>2728</v>
      </c>
      <c r="D399" t="s">
        <v>6169</v>
      </c>
      <c r="E399" s="2">
        <v>4</v>
      </c>
      <c r="F399" t="str">
        <f>_xlfn.XLOOKUP(C399, customers!$A$2:$A$1001, customers!$B$2:$B$1001, , 0, 1)</f>
        <v>Fleur Parres</v>
      </c>
      <c r="G399" s="2" t="str">
        <f>IF(_xlfn.XLOOKUP(C399,customers!$A$2:$A$1001,customers!$C$2:$C$1001,,0,1)=0,"",_xlfn.XLOOKUP(C399,customers!$A$2:$A$1001,customers!$C$2:$C$1001,,0,1))</f>
        <v>fparresb1@imageshack.us</v>
      </c>
      <c r="H399" s="2" t="str">
        <f>_xlfn.XLOOKUP(C399, customers!$A$2:$A$1001, customers!$G$2:$G$1001, , 0, 1)</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t="str">
        <f>_xlfn.XLOOKUP(C400, customers!$A$2:$A$1001, customers!$B$2:$B$1001, , 0, 1)</f>
        <v>Gran Sibray</v>
      </c>
      <c r="G400" s="2" t="str">
        <f>IF(_xlfn.XLOOKUP(C400,customers!$A$2:$A$1001,customers!$C$2:$C$1001,,0,1)=0,"",_xlfn.XLOOKUP(C400,customers!$A$2:$A$1001,customers!$C$2:$C$1001,,0,1))</f>
        <v>gsibrayb2@wsj.com</v>
      </c>
      <c r="H400" s="2" t="str">
        <f>_xlfn.XLOOKUP(C400, customers!$A$2:$A$1001, customers!$G$2:$G$1001, , 0, 1)</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t="str">
        <f>_xlfn.XLOOKUP(C401, customers!$A$2:$A$1001, customers!$B$2:$B$1001, , 0, 1)</f>
        <v>Ingelbert Hotchkin</v>
      </c>
      <c r="G401" s="2" t="str">
        <f>IF(_xlfn.XLOOKUP(C401,customers!$A$2:$A$1001,customers!$C$2:$C$1001,,0,1)=0,"",_xlfn.XLOOKUP(C401,customers!$A$2:$A$1001,customers!$C$2:$C$1001,,0,1))</f>
        <v>ihotchkinb3@mit.edu</v>
      </c>
      <c r="H401" s="2" t="str">
        <f>_xlfn.XLOOKUP(C401, customers!$A$2:$A$1001, customers!$G$2:$G$1001, , 0, 1)</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t="str">
        <f>_xlfn.XLOOKUP(C402, customers!$A$2:$A$1001, customers!$B$2:$B$1001, , 0, 1)</f>
        <v>Neely Broadberrie</v>
      </c>
      <c r="G402" s="2" t="str">
        <f>IF(_xlfn.XLOOKUP(C402,customers!$A$2:$A$1001,customers!$C$2:$C$1001,,0,1)=0,"",_xlfn.XLOOKUP(C402,customers!$A$2:$A$1001,customers!$C$2:$C$1001,,0,1))</f>
        <v>nbroadberrieb4@gnu.org</v>
      </c>
      <c r="H402" s="2" t="str">
        <f>_xlfn.XLOOKUP(C402, customers!$A$2:$A$1001, customers!$G$2:$G$1001, , 0, 1)</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Large</v>
      </c>
      <c r="P402" t="str">
        <f>_xlfn.XLOOKUP(Orders[[#This Row],[Customer ID]],customers!$A$1:$A$1001,customers!$I$1:$I$1001,"",0)</f>
        <v>No</v>
      </c>
    </row>
    <row r="403" spans="1:16" x14ac:dyDescent="0.3">
      <c r="A403" s="2" t="s">
        <v>2751</v>
      </c>
      <c r="B403" s="3">
        <v>43591</v>
      </c>
      <c r="C403" s="2" t="s">
        <v>2752</v>
      </c>
      <c r="D403" t="s">
        <v>6159</v>
      </c>
      <c r="E403" s="2">
        <v>2</v>
      </c>
      <c r="F403" t="str">
        <f>_xlfn.XLOOKUP(C403, customers!$A$2:$A$1001, customers!$B$2:$B$1001, , 0, 1)</f>
        <v>Rutger Pithcock</v>
      </c>
      <c r="G403" s="2" t="str">
        <f>IF(_xlfn.XLOOKUP(C403,customers!$A$2:$A$1001,customers!$C$2:$C$1001,,0,1)=0,"",_xlfn.XLOOKUP(C403,customers!$A$2:$A$1001,customers!$C$2:$C$1001,,0,1))</f>
        <v>rpithcockb5@yellowbook.com</v>
      </c>
      <c r="H403" s="2" t="str">
        <f>_xlfn.XLOOKUP(C403, customers!$A$2:$A$1001, customers!$G$2:$G$1001, , 0, 1)</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t="str">
        <f>_xlfn.XLOOKUP(C404, customers!$A$2:$A$1001, customers!$B$2:$B$1001, , 0, 1)</f>
        <v>Gale Croysdale</v>
      </c>
      <c r="G404" s="2" t="str">
        <f>IF(_xlfn.XLOOKUP(C404,customers!$A$2:$A$1001,customers!$C$2:$C$1001,,0,1)=0,"",_xlfn.XLOOKUP(C404,customers!$A$2:$A$1001,customers!$C$2:$C$1001,,0,1))</f>
        <v>gcroysdaleb6@nih.gov</v>
      </c>
      <c r="H404" s="2" t="str">
        <f>_xlfn.XLOOKUP(C404, customers!$A$2:$A$1001, customers!$G$2:$G$1001, , 0, 1)</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t="str">
        <f>_xlfn.XLOOKUP(C405, customers!$A$2:$A$1001, customers!$B$2:$B$1001, , 0, 1)</f>
        <v>Benedetto Gozzett</v>
      </c>
      <c r="G405" s="2" t="str">
        <f>IF(_xlfn.XLOOKUP(C405,customers!$A$2:$A$1001,customers!$C$2:$C$1001,,0,1)=0,"",_xlfn.XLOOKUP(C405,customers!$A$2:$A$1001,customers!$C$2:$C$1001,,0,1))</f>
        <v>bgozzettb7@github.com</v>
      </c>
      <c r="H405" s="2" t="str">
        <f>_xlfn.XLOOKUP(C405, customers!$A$2:$A$1001, customers!$G$2:$G$1001, , 0, 1)</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Large</v>
      </c>
      <c r="P405" t="str">
        <f>_xlfn.XLOOKUP(Orders[[#This Row],[Customer ID]],customers!$A$1:$A$1001,customers!$I$1:$I$1001,"",0)</f>
        <v>No</v>
      </c>
    </row>
    <row r="406" spans="1:16" x14ac:dyDescent="0.3">
      <c r="A406" s="2" t="s">
        <v>2769</v>
      </c>
      <c r="B406" s="3">
        <v>43971</v>
      </c>
      <c r="C406" s="2" t="s">
        <v>2770</v>
      </c>
      <c r="D406" t="s">
        <v>6147</v>
      </c>
      <c r="E406" s="2">
        <v>4</v>
      </c>
      <c r="F406" t="str">
        <f>_xlfn.XLOOKUP(C406, customers!$A$2:$A$1001, customers!$B$2:$B$1001, , 0, 1)</f>
        <v>Tania Craggs</v>
      </c>
      <c r="G406" s="2" t="str">
        <f>IF(_xlfn.XLOOKUP(C406,customers!$A$2:$A$1001,customers!$C$2:$C$1001,,0,1)=0,"",_xlfn.XLOOKUP(C406,customers!$A$2:$A$1001,customers!$C$2:$C$1001,,0,1))</f>
        <v>tcraggsb8@house.gov</v>
      </c>
      <c r="H406" s="2" t="str">
        <f>_xlfn.XLOOKUP(C406, customers!$A$2:$A$1001, customers!$G$2:$G$1001, , 0, 1)</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t="str">
        <f>_xlfn.XLOOKUP(C407, customers!$A$2:$A$1001, customers!$B$2:$B$1001, , 0, 1)</f>
        <v>Leonie Cullrford</v>
      </c>
      <c r="G407" s="2" t="str">
        <f>IF(_xlfn.XLOOKUP(C407,customers!$A$2:$A$1001,customers!$C$2:$C$1001,,0,1)=0,"",_xlfn.XLOOKUP(C407,customers!$A$2:$A$1001,customers!$C$2:$C$1001,,0,1))</f>
        <v>lcullrfordb9@xing.com</v>
      </c>
      <c r="H407" s="2" t="str">
        <f>_xlfn.XLOOKUP(C407, customers!$A$2:$A$1001, customers!$G$2:$G$1001, , 0, 1)</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t="str">
        <f>_xlfn.XLOOKUP(C408, customers!$A$2:$A$1001, customers!$B$2:$B$1001, , 0, 1)</f>
        <v>Auguste Rizon</v>
      </c>
      <c r="G408" s="2" t="str">
        <f>IF(_xlfn.XLOOKUP(C408,customers!$A$2:$A$1001,customers!$C$2:$C$1001,,0,1)=0,"",_xlfn.XLOOKUP(C408,customers!$A$2:$A$1001,customers!$C$2:$C$1001,,0,1))</f>
        <v>arizonba@xing.com</v>
      </c>
      <c r="H408" s="2" t="str">
        <f>_xlfn.XLOOKUP(C408, customers!$A$2:$A$1001, customers!$G$2:$G$1001, , 0, 1)</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t="str">
        <f>_xlfn.XLOOKUP(C409, customers!$A$2:$A$1001, customers!$B$2:$B$1001, , 0, 1)</f>
        <v>Lorin Guerrazzi</v>
      </c>
      <c r="G409" s="2" t="str">
        <f>IF(_xlfn.XLOOKUP(C409,customers!$A$2:$A$1001,customers!$C$2:$C$1001,,0,1)=0,"",_xlfn.XLOOKUP(C409,customers!$A$2:$A$1001,customers!$C$2:$C$1001,,0,1))</f>
        <v/>
      </c>
      <c r="H409" s="2" t="str">
        <f>_xlfn.XLOOKUP(C409, customers!$A$2:$A$1001, customers!$G$2:$G$1001, , 0, 1)</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t="str">
        <f>_xlfn.XLOOKUP(C410, customers!$A$2:$A$1001, customers!$B$2:$B$1001, , 0, 1)</f>
        <v>Felice Miell</v>
      </c>
      <c r="G410" s="2" t="str">
        <f>IF(_xlfn.XLOOKUP(C410,customers!$A$2:$A$1001,customers!$C$2:$C$1001,,0,1)=0,"",_xlfn.XLOOKUP(C410,customers!$A$2:$A$1001,customers!$C$2:$C$1001,,0,1))</f>
        <v>fmiellbc@spiegel.de</v>
      </c>
      <c r="H410" s="2" t="str">
        <f>_xlfn.XLOOKUP(C410, customers!$A$2:$A$1001, customers!$G$2:$G$1001, , 0, 1)</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t="str">
        <f>_xlfn.XLOOKUP(C411, customers!$A$2:$A$1001, customers!$B$2:$B$1001, , 0, 1)</f>
        <v>Hamish Skeech</v>
      </c>
      <c r="G411" s="2" t="str">
        <f>IF(_xlfn.XLOOKUP(C411,customers!$A$2:$A$1001,customers!$C$2:$C$1001,,0,1)=0,"",_xlfn.XLOOKUP(C411,customers!$A$2:$A$1001,customers!$C$2:$C$1001,,0,1))</f>
        <v/>
      </c>
      <c r="H411" s="2" t="str">
        <f>_xlfn.XLOOKUP(C411, customers!$A$2:$A$1001, customers!$G$2:$G$1001, , 0, 1)</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Large</v>
      </c>
      <c r="P411" t="str">
        <f>_xlfn.XLOOKUP(Orders[[#This Row],[Customer ID]],customers!$A$1:$A$1001,customers!$I$1:$I$1001,"",0)</f>
        <v>Yes</v>
      </c>
    </row>
    <row r="412" spans="1:16" x14ac:dyDescent="0.3">
      <c r="A412" s="2" t="s">
        <v>2803</v>
      </c>
      <c r="B412" s="3">
        <v>44441</v>
      </c>
      <c r="C412" s="2" t="s">
        <v>2804</v>
      </c>
      <c r="D412" t="s">
        <v>6167</v>
      </c>
      <c r="E412" s="2">
        <v>4</v>
      </c>
      <c r="F412" t="str">
        <f>_xlfn.XLOOKUP(C412, customers!$A$2:$A$1001, customers!$B$2:$B$1001, , 0, 1)</f>
        <v>Giordano Lorenzin</v>
      </c>
      <c r="G412" s="2" t="str">
        <f>IF(_xlfn.XLOOKUP(C412,customers!$A$2:$A$1001,customers!$C$2:$C$1001,,0,1)=0,"",_xlfn.XLOOKUP(C412,customers!$A$2:$A$1001,customers!$C$2:$C$1001,,0,1))</f>
        <v/>
      </c>
      <c r="H412" s="2" t="str">
        <f>_xlfn.XLOOKUP(C412, customers!$A$2:$A$1001, customers!$G$2:$G$1001, , 0, 1)</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Large</v>
      </c>
      <c r="P412" t="str">
        <f>_xlfn.XLOOKUP(Orders[[#This Row],[Customer ID]],customers!$A$1:$A$1001,customers!$I$1:$I$1001,"",0)</f>
        <v>No</v>
      </c>
    </row>
    <row r="413" spans="1:16" x14ac:dyDescent="0.3">
      <c r="A413" s="2" t="s">
        <v>2808</v>
      </c>
      <c r="B413" s="3">
        <v>44504</v>
      </c>
      <c r="C413" s="2" t="s">
        <v>2809</v>
      </c>
      <c r="D413" t="s">
        <v>6162</v>
      </c>
      <c r="E413" s="2">
        <v>6</v>
      </c>
      <c r="F413" t="str">
        <f>_xlfn.XLOOKUP(C413, customers!$A$2:$A$1001, customers!$B$2:$B$1001, , 0, 1)</f>
        <v>Harwilll Bishell</v>
      </c>
      <c r="G413" s="2" t="str">
        <f>IF(_xlfn.XLOOKUP(C413,customers!$A$2:$A$1001,customers!$C$2:$C$1001,,0,1)=0,"",_xlfn.XLOOKUP(C413,customers!$A$2:$A$1001,customers!$C$2:$C$1001,,0,1))</f>
        <v/>
      </c>
      <c r="H413" s="2" t="str">
        <f>_xlfn.XLOOKUP(C413, customers!$A$2:$A$1001, customers!$G$2:$G$1001, , 0, 1)</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t="str">
        <f>_xlfn.XLOOKUP(C414, customers!$A$2:$A$1001, customers!$B$2:$B$1001, , 0, 1)</f>
        <v>Freeland Missenden</v>
      </c>
      <c r="G414" s="2" t="str">
        <f>IF(_xlfn.XLOOKUP(C414,customers!$A$2:$A$1001,customers!$C$2:$C$1001,,0,1)=0,"",_xlfn.XLOOKUP(C414,customers!$A$2:$A$1001,customers!$C$2:$C$1001,,0,1))</f>
        <v/>
      </c>
      <c r="H414" s="2" t="str">
        <f>_xlfn.XLOOKUP(C414, customers!$A$2:$A$1001, customers!$G$2:$G$1001, , 0, 1)</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t="str">
        <f>_xlfn.XLOOKUP(C415, customers!$A$2:$A$1001, customers!$B$2:$B$1001, , 0, 1)</f>
        <v>Waylan Springall</v>
      </c>
      <c r="G415" s="2" t="str">
        <f>IF(_xlfn.XLOOKUP(C415,customers!$A$2:$A$1001,customers!$C$2:$C$1001,,0,1)=0,"",_xlfn.XLOOKUP(C415,customers!$A$2:$A$1001,customers!$C$2:$C$1001,,0,1))</f>
        <v>wspringallbh@jugem.jp</v>
      </c>
      <c r="H415" s="2" t="str">
        <f>_xlfn.XLOOKUP(C415, customers!$A$2:$A$1001, customers!$G$2:$G$1001, , 0, 1)</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Large</v>
      </c>
      <c r="P415" t="str">
        <f>_xlfn.XLOOKUP(Orders[[#This Row],[Customer ID]],customers!$A$1:$A$1001,customers!$I$1:$I$1001,"",0)</f>
        <v>Yes</v>
      </c>
    </row>
    <row r="416" spans="1:16" x14ac:dyDescent="0.3">
      <c r="A416" s="2" t="s">
        <v>2824</v>
      </c>
      <c r="B416" s="3">
        <v>43802</v>
      </c>
      <c r="C416" s="2" t="s">
        <v>2825</v>
      </c>
      <c r="D416" t="s">
        <v>6178</v>
      </c>
      <c r="E416" s="2">
        <v>3</v>
      </c>
      <c r="F416" t="str">
        <f>_xlfn.XLOOKUP(C416, customers!$A$2:$A$1001, customers!$B$2:$B$1001, , 0, 1)</f>
        <v>Kiri Avramow</v>
      </c>
      <c r="G416" s="2" t="str">
        <f>IF(_xlfn.XLOOKUP(C416,customers!$A$2:$A$1001,customers!$C$2:$C$1001,,0,1)=0,"",_xlfn.XLOOKUP(C416,customers!$A$2:$A$1001,customers!$C$2:$C$1001,,0,1))</f>
        <v/>
      </c>
      <c r="H416" s="2" t="str">
        <f>_xlfn.XLOOKUP(C416, customers!$A$2:$A$1001, customers!$G$2:$G$1001, , 0, 1)</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Large</v>
      </c>
      <c r="P416" t="str">
        <f>_xlfn.XLOOKUP(Orders[[#This Row],[Customer ID]],customers!$A$1:$A$1001,customers!$I$1:$I$1001,"",0)</f>
        <v>Yes</v>
      </c>
    </row>
    <row r="417" spans="1:16" x14ac:dyDescent="0.3">
      <c r="A417" s="2" t="s">
        <v>2829</v>
      </c>
      <c r="B417" s="3">
        <v>43683</v>
      </c>
      <c r="C417" s="2" t="s">
        <v>2830</v>
      </c>
      <c r="D417" t="s">
        <v>6174</v>
      </c>
      <c r="E417" s="2">
        <v>3</v>
      </c>
      <c r="F417" t="str">
        <f>_xlfn.XLOOKUP(C417, customers!$A$2:$A$1001, customers!$B$2:$B$1001, , 0, 1)</f>
        <v>Gregg Hawkyens</v>
      </c>
      <c r="G417" s="2" t="str">
        <f>IF(_xlfn.XLOOKUP(C417,customers!$A$2:$A$1001,customers!$C$2:$C$1001,,0,1)=0,"",_xlfn.XLOOKUP(C417,customers!$A$2:$A$1001,customers!$C$2:$C$1001,,0,1))</f>
        <v>ghawkyensbj@census.gov</v>
      </c>
      <c r="H417" s="2" t="str">
        <f>_xlfn.XLOOKUP(C417, customers!$A$2:$A$1001, customers!$G$2:$G$1001, , 0, 1)</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t="str">
        <f>_xlfn.XLOOKUP(C418, customers!$A$2:$A$1001, customers!$B$2:$B$1001, , 0, 1)</f>
        <v>Reggis Pracy</v>
      </c>
      <c r="G418" s="2" t="str">
        <f>IF(_xlfn.XLOOKUP(C418,customers!$A$2:$A$1001,customers!$C$2:$C$1001,,0,1)=0,"",_xlfn.XLOOKUP(C418,customers!$A$2:$A$1001,customers!$C$2:$C$1001,,0,1))</f>
        <v/>
      </c>
      <c r="H418" s="2" t="str">
        <f>_xlfn.XLOOKUP(C418, customers!$A$2:$A$1001, customers!$G$2:$G$1001, , 0, 1)</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Large</v>
      </c>
      <c r="P418" t="str">
        <f>_xlfn.XLOOKUP(Orders[[#This Row],[Customer ID]],customers!$A$1:$A$1001,customers!$I$1:$I$1001,"",0)</f>
        <v>Yes</v>
      </c>
    </row>
    <row r="419" spans="1:16" x14ac:dyDescent="0.3">
      <c r="A419" s="2" t="s">
        <v>2839</v>
      </c>
      <c r="B419" s="3">
        <v>44457</v>
      </c>
      <c r="C419" s="2" t="s">
        <v>2840</v>
      </c>
      <c r="D419" t="s">
        <v>6182</v>
      </c>
      <c r="E419" s="2">
        <v>1</v>
      </c>
      <c r="F419" t="str">
        <f>_xlfn.XLOOKUP(C419, customers!$A$2:$A$1001, customers!$B$2:$B$1001, , 0, 1)</f>
        <v>Paula Denis</v>
      </c>
      <c r="G419" s="2" t="str">
        <f>IF(_xlfn.XLOOKUP(C419,customers!$A$2:$A$1001,customers!$C$2:$C$1001,,0,1)=0,"",_xlfn.XLOOKUP(C419,customers!$A$2:$A$1001,customers!$C$2:$C$1001,,0,1))</f>
        <v/>
      </c>
      <c r="H419" s="2" t="str">
        <f>_xlfn.XLOOKUP(C419, customers!$A$2:$A$1001, customers!$G$2:$G$1001, , 0, 1)</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Large</v>
      </c>
      <c r="P419" t="str">
        <f>_xlfn.XLOOKUP(Orders[[#This Row],[Customer ID]],customers!$A$1:$A$1001,customers!$I$1:$I$1001,"",0)</f>
        <v>Yes</v>
      </c>
    </row>
    <row r="420" spans="1:16" x14ac:dyDescent="0.3">
      <c r="A420" s="2" t="s">
        <v>2844</v>
      </c>
      <c r="B420" s="3">
        <v>44142</v>
      </c>
      <c r="C420" s="2" t="s">
        <v>2845</v>
      </c>
      <c r="D420" t="s">
        <v>6182</v>
      </c>
      <c r="E420" s="2">
        <v>5</v>
      </c>
      <c r="F420" t="str">
        <f>_xlfn.XLOOKUP(C420, customers!$A$2:$A$1001, customers!$B$2:$B$1001, , 0, 1)</f>
        <v>Broderick McGilvra</v>
      </c>
      <c r="G420" s="2" t="str">
        <f>IF(_xlfn.XLOOKUP(C420,customers!$A$2:$A$1001,customers!$C$2:$C$1001,,0,1)=0,"",_xlfn.XLOOKUP(C420,customers!$A$2:$A$1001,customers!$C$2:$C$1001,,0,1))</f>
        <v>bmcgilvrabm@so-net.ne.jp</v>
      </c>
      <c r="H420" s="2" t="str">
        <f>_xlfn.XLOOKUP(C420, customers!$A$2:$A$1001, customers!$G$2:$G$1001, , 0, 1)</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Large</v>
      </c>
      <c r="P420" t="str">
        <f>_xlfn.XLOOKUP(Orders[[#This Row],[Customer ID]],customers!$A$1:$A$1001,customers!$I$1:$I$1001,"",0)</f>
        <v>Yes</v>
      </c>
    </row>
    <row r="421" spans="1:16" x14ac:dyDescent="0.3">
      <c r="A421" s="2" t="s">
        <v>2849</v>
      </c>
      <c r="B421" s="3">
        <v>44739</v>
      </c>
      <c r="C421" s="2" t="s">
        <v>2850</v>
      </c>
      <c r="D421" t="s">
        <v>6160</v>
      </c>
      <c r="E421" s="2">
        <v>1</v>
      </c>
      <c r="F421" t="str">
        <f>_xlfn.XLOOKUP(C421, customers!$A$2:$A$1001, customers!$B$2:$B$1001, , 0, 1)</f>
        <v>Annabella Danzey</v>
      </c>
      <c r="G421" s="2" t="str">
        <f>IF(_xlfn.XLOOKUP(C421,customers!$A$2:$A$1001,customers!$C$2:$C$1001,,0,1)=0,"",_xlfn.XLOOKUP(C421,customers!$A$2:$A$1001,customers!$C$2:$C$1001,,0,1))</f>
        <v>adanzeybn@github.com</v>
      </c>
      <c r="H421" s="2" t="str">
        <f>_xlfn.XLOOKUP(C421, customers!$A$2:$A$1001, customers!$G$2:$G$1001, , 0, 1)</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t="str">
        <f>_xlfn.XLOOKUP(C422, customers!$A$2:$A$1001, customers!$B$2:$B$1001, , 0, 1)</f>
        <v>Terri Farra</v>
      </c>
      <c r="G422" s="2" t="str">
        <f>IF(_xlfn.XLOOKUP(C422,customers!$A$2:$A$1001,customers!$C$2:$C$1001,,0,1)=0,"",_xlfn.XLOOKUP(C422,customers!$A$2:$A$1001,customers!$C$2:$C$1001,,0,1))</f>
        <v>tfarraac@behance.net</v>
      </c>
      <c r="H422" s="2" t="str">
        <f>_xlfn.XLOOKUP(C422, customers!$A$2:$A$1001, customers!$G$2:$G$1001, , 0, 1)</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t="str">
        <f>_xlfn.XLOOKUP(C423, customers!$A$2:$A$1001, customers!$B$2:$B$1001, , 0, 1)</f>
        <v>Terri Farra</v>
      </c>
      <c r="G423" s="2" t="str">
        <f>IF(_xlfn.XLOOKUP(C423,customers!$A$2:$A$1001,customers!$C$2:$C$1001,,0,1)=0,"",_xlfn.XLOOKUP(C423,customers!$A$2:$A$1001,customers!$C$2:$C$1001,,0,1))</f>
        <v>tfarraac@behance.net</v>
      </c>
      <c r="H423" s="2" t="str">
        <f>_xlfn.XLOOKUP(C423, customers!$A$2:$A$1001, customers!$G$2:$G$1001, , 0, 1)</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t="str">
        <f>_xlfn.XLOOKUP(C424, customers!$A$2:$A$1001, customers!$B$2:$B$1001, , 0, 1)</f>
        <v>Nevins Glowacz</v>
      </c>
      <c r="G424" s="2" t="str">
        <f>IF(_xlfn.XLOOKUP(C424,customers!$A$2:$A$1001,customers!$C$2:$C$1001,,0,1)=0,"",_xlfn.XLOOKUP(C424,customers!$A$2:$A$1001,customers!$C$2:$C$1001,,0,1))</f>
        <v/>
      </c>
      <c r="H424" s="2" t="str">
        <f>_xlfn.XLOOKUP(C424, customers!$A$2:$A$1001, customers!$G$2:$G$1001, , 0, 1)</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t="str">
        <f>_xlfn.XLOOKUP(C425, customers!$A$2:$A$1001, customers!$B$2:$B$1001, , 0, 1)</f>
        <v>Adelice Isabell</v>
      </c>
      <c r="G425" s="2" t="str">
        <f>IF(_xlfn.XLOOKUP(C425,customers!$A$2:$A$1001,customers!$C$2:$C$1001,,0,1)=0,"",_xlfn.XLOOKUP(C425,customers!$A$2:$A$1001,customers!$C$2:$C$1001,,0,1))</f>
        <v/>
      </c>
      <c r="H425" s="2" t="str">
        <f>_xlfn.XLOOKUP(C425, customers!$A$2:$A$1001, customers!$G$2:$G$1001, , 0, 1)</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t="str">
        <f>_xlfn.XLOOKUP(C426, customers!$A$2:$A$1001, customers!$B$2:$B$1001, , 0, 1)</f>
        <v>Yulma Dombrell</v>
      </c>
      <c r="G426" s="2" t="str">
        <f>IF(_xlfn.XLOOKUP(C426,customers!$A$2:$A$1001,customers!$C$2:$C$1001,,0,1)=0,"",_xlfn.XLOOKUP(C426,customers!$A$2:$A$1001,customers!$C$2:$C$1001,,0,1))</f>
        <v>ydombrellbs@dedecms.com</v>
      </c>
      <c r="H426" s="2" t="str">
        <f>_xlfn.XLOOKUP(C426, customers!$A$2:$A$1001, customers!$G$2:$G$1001, , 0, 1)</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Large</v>
      </c>
      <c r="P426" t="str">
        <f>_xlfn.XLOOKUP(Orders[[#This Row],[Customer ID]],customers!$A$1:$A$1001,customers!$I$1:$I$1001,"",0)</f>
        <v>Yes</v>
      </c>
    </row>
    <row r="427" spans="1:16" x14ac:dyDescent="0.3">
      <c r="A427" s="2" t="s">
        <v>2882</v>
      </c>
      <c r="B427" s="3">
        <v>44428</v>
      </c>
      <c r="C427" s="2" t="s">
        <v>2883</v>
      </c>
      <c r="D427" t="s">
        <v>6177</v>
      </c>
      <c r="E427" s="2">
        <v>2</v>
      </c>
      <c r="F427" t="str">
        <f>_xlfn.XLOOKUP(C427, customers!$A$2:$A$1001, customers!$B$2:$B$1001, , 0, 1)</f>
        <v>Alric Darth</v>
      </c>
      <c r="G427" s="2" t="str">
        <f>IF(_xlfn.XLOOKUP(C427,customers!$A$2:$A$1001,customers!$C$2:$C$1001,,0,1)=0,"",_xlfn.XLOOKUP(C427,customers!$A$2:$A$1001,customers!$C$2:$C$1001,,0,1))</f>
        <v>adarthbt@t.co</v>
      </c>
      <c r="H427" s="2" t="str">
        <f>_xlfn.XLOOKUP(C427, customers!$A$2:$A$1001, customers!$G$2:$G$1001, , 0, 1)</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t="str">
        <f>_xlfn.XLOOKUP(C428, customers!$A$2:$A$1001, customers!$B$2:$B$1001, , 0, 1)</f>
        <v>Manuel Darrigoe</v>
      </c>
      <c r="G428" s="2" t="str">
        <f>IF(_xlfn.XLOOKUP(C428,customers!$A$2:$A$1001,customers!$C$2:$C$1001,,0,1)=0,"",_xlfn.XLOOKUP(C428,customers!$A$2:$A$1001,customers!$C$2:$C$1001,,0,1))</f>
        <v>mdarrigoebu@hud.gov</v>
      </c>
      <c r="H428" s="2" t="str">
        <f>_xlfn.XLOOKUP(C428, customers!$A$2:$A$1001, customers!$G$2:$G$1001, , 0, 1)</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Large</v>
      </c>
      <c r="P428" t="str">
        <f>_xlfn.XLOOKUP(Orders[[#This Row],[Customer ID]],customers!$A$1:$A$1001,customers!$I$1:$I$1001,"",0)</f>
        <v>Yes</v>
      </c>
    </row>
    <row r="429" spans="1:16" x14ac:dyDescent="0.3">
      <c r="A429" s="2" t="s">
        <v>2894</v>
      </c>
      <c r="B429" s="3">
        <v>44224</v>
      </c>
      <c r="C429" s="2" t="s">
        <v>2895</v>
      </c>
      <c r="D429" t="s">
        <v>6175</v>
      </c>
      <c r="E429" s="2">
        <v>3</v>
      </c>
      <c r="F429" t="str">
        <f>_xlfn.XLOOKUP(C429, customers!$A$2:$A$1001, customers!$B$2:$B$1001, , 0, 1)</f>
        <v>Kynthia Berick</v>
      </c>
      <c r="G429" s="2" t="str">
        <f>IF(_xlfn.XLOOKUP(C429,customers!$A$2:$A$1001,customers!$C$2:$C$1001,,0,1)=0,"",_xlfn.XLOOKUP(C429,customers!$A$2:$A$1001,customers!$C$2:$C$1001,,0,1))</f>
        <v/>
      </c>
      <c r="H429" s="2" t="str">
        <f>_xlfn.XLOOKUP(C429, customers!$A$2:$A$1001, customers!$G$2:$G$1001, , 0, 1)</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t="str">
        <f>_xlfn.XLOOKUP(C430, customers!$A$2:$A$1001, customers!$B$2:$B$1001, , 0, 1)</f>
        <v>Minetta Ackrill</v>
      </c>
      <c r="G430" s="2" t="str">
        <f>IF(_xlfn.XLOOKUP(C430,customers!$A$2:$A$1001,customers!$C$2:$C$1001,,0,1)=0,"",_xlfn.XLOOKUP(C430,customers!$A$2:$A$1001,customers!$C$2:$C$1001,,0,1))</f>
        <v>mackrillbw@bandcamp.com</v>
      </c>
      <c r="H430" s="2" t="str">
        <f>_xlfn.XLOOKUP(C430, customers!$A$2:$A$1001, customers!$G$2:$G$1001, , 0, 1)</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Large</v>
      </c>
      <c r="P430" t="str">
        <f>_xlfn.XLOOKUP(Orders[[#This Row],[Customer ID]],customers!$A$1:$A$1001,customers!$I$1:$I$1001,"",0)</f>
        <v>No</v>
      </c>
    </row>
    <row r="431" spans="1:16" x14ac:dyDescent="0.3">
      <c r="A431" s="2" t="s">
        <v>2905</v>
      </c>
      <c r="B431" s="3">
        <v>44367</v>
      </c>
      <c r="C431" s="2" t="s">
        <v>2586</v>
      </c>
      <c r="D431" t="s">
        <v>6140</v>
      </c>
      <c r="E431" s="2">
        <v>6</v>
      </c>
      <c r="F431" t="str">
        <f>_xlfn.XLOOKUP(C431, customers!$A$2:$A$1001, customers!$B$2:$B$1001, , 0, 1)</f>
        <v>Terri Farra</v>
      </c>
      <c r="G431" s="2" t="str">
        <f>IF(_xlfn.XLOOKUP(C431,customers!$A$2:$A$1001,customers!$C$2:$C$1001,,0,1)=0,"",_xlfn.XLOOKUP(C431,customers!$A$2:$A$1001,customers!$C$2:$C$1001,,0,1))</f>
        <v>tfarraac@behance.net</v>
      </c>
      <c r="H431" s="2" t="str">
        <f>_xlfn.XLOOKUP(C431, customers!$A$2:$A$1001, customers!$G$2:$G$1001, , 0, 1)</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Large</v>
      </c>
      <c r="P431" t="str">
        <f>_xlfn.XLOOKUP(Orders[[#This Row],[Customer ID]],customers!$A$1:$A$1001,customers!$I$1:$I$1001,"",0)</f>
        <v>No</v>
      </c>
    </row>
    <row r="432" spans="1:16" x14ac:dyDescent="0.3">
      <c r="A432" s="2" t="s">
        <v>2911</v>
      </c>
      <c r="B432" s="3">
        <v>44504</v>
      </c>
      <c r="C432" s="2" t="s">
        <v>2912</v>
      </c>
      <c r="D432" t="s">
        <v>6163</v>
      </c>
      <c r="E432" s="2">
        <v>2</v>
      </c>
      <c r="F432" t="str">
        <f>_xlfn.XLOOKUP(C432, customers!$A$2:$A$1001, customers!$B$2:$B$1001, , 0, 1)</f>
        <v>Melosa Kippen</v>
      </c>
      <c r="G432" s="2" t="str">
        <f>IF(_xlfn.XLOOKUP(C432,customers!$A$2:$A$1001,customers!$C$2:$C$1001,,0,1)=0,"",_xlfn.XLOOKUP(C432,customers!$A$2:$A$1001,customers!$C$2:$C$1001,,0,1))</f>
        <v>mkippenby@dion.ne.jp</v>
      </c>
      <c r="H432" s="2" t="str">
        <f>_xlfn.XLOOKUP(C432, customers!$A$2:$A$1001, customers!$G$2:$G$1001, , 0, 1)</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t="str">
        <f>_xlfn.XLOOKUP(C433, customers!$A$2:$A$1001, customers!$B$2:$B$1001, , 0, 1)</f>
        <v>Witty Ranson</v>
      </c>
      <c r="G433" s="2" t="str">
        <f>IF(_xlfn.XLOOKUP(C433,customers!$A$2:$A$1001,customers!$C$2:$C$1001,,0,1)=0,"",_xlfn.XLOOKUP(C433,customers!$A$2:$A$1001,customers!$C$2:$C$1001,,0,1))</f>
        <v>wransonbz@ted.com</v>
      </c>
      <c r="H433" s="2" t="str">
        <f>_xlfn.XLOOKUP(C433, customers!$A$2:$A$1001, customers!$G$2:$G$1001, , 0, 1)</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t="str">
        <f>_xlfn.XLOOKUP(C434, customers!$A$2:$A$1001, customers!$B$2:$B$1001, , 0, 1)</f>
        <v>Rod Gowdie</v>
      </c>
      <c r="G434" s="2" t="str">
        <f>IF(_xlfn.XLOOKUP(C434,customers!$A$2:$A$1001,customers!$C$2:$C$1001,,0,1)=0,"",_xlfn.XLOOKUP(C434,customers!$A$2:$A$1001,customers!$C$2:$C$1001,,0,1))</f>
        <v/>
      </c>
      <c r="H434" s="2" t="str">
        <f>_xlfn.XLOOKUP(C434, customers!$A$2:$A$1001, customers!$G$2:$G$1001, , 0, 1)</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t="str">
        <f>_xlfn.XLOOKUP(C435, customers!$A$2:$A$1001, customers!$B$2:$B$1001, , 0, 1)</f>
        <v>Lemuel Rignold</v>
      </c>
      <c r="G435" s="2" t="str">
        <f>IF(_xlfn.XLOOKUP(C435,customers!$A$2:$A$1001,customers!$C$2:$C$1001,,0,1)=0,"",_xlfn.XLOOKUP(C435,customers!$A$2:$A$1001,customers!$C$2:$C$1001,,0,1))</f>
        <v>lrignoldc1@miibeian.gov.cn</v>
      </c>
      <c r="H435" s="2" t="str">
        <f>_xlfn.XLOOKUP(C435, customers!$A$2:$A$1001, customers!$G$2:$G$1001, , 0, 1)</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t="str">
        <f>_xlfn.XLOOKUP(C436, customers!$A$2:$A$1001, customers!$B$2:$B$1001, , 0, 1)</f>
        <v>Nevsa Fields</v>
      </c>
      <c r="G436" s="2" t="str">
        <f>IF(_xlfn.XLOOKUP(C436,customers!$A$2:$A$1001,customers!$C$2:$C$1001,,0,1)=0,"",_xlfn.XLOOKUP(C436,customers!$A$2:$A$1001,customers!$C$2:$C$1001,,0,1))</f>
        <v/>
      </c>
      <c r="H436" s="2" t="str">
        <f>_xlfn.XLOOKUP(C436, customers!$A$2:$A$1001, customers!$G$2:$G$1001, , 0, 1)</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t="str">
        <f>_xlfn.XLOOKUP(C437, customers!$A$2:$A$1001, customers!$B$2:$B$1001, , 0, 1)</f>
        <v>Chance Rowthorn</v>
      </c>
      <c r="G437" s="2" t="str">
        <f>IF(_xlfn.XLOOKUP(C437,customers!$A$2:$A$1001,customers!$C$2:$C$1001,,0,1)=0,"",_xlfn.XLOOKUP(C437,customers!$A$2:$A$1001,customers!$C$2:$C$1001,,0,1))</f>
        <v>crowthornc3@msn.com</v>
      </c>
      <c r="H437" s="2" t="str">
        <f>_xlfn.XLOOKUP(C437, customers!$A$2:$A$1001, customers!$G$2:$G$1001, , 0, 1)</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t="str">
        <f>_xlfn.XLOOKUP(C438, customers!$A$2:$A$1001, customers!$B$2:$B$1001, , 0, 1)</f>
        <v>Orly Ryland</v>
      </c>
      <c r="G438" s="2" t="str">
        <f>IF(_xlfn.XLOOKUP(C438,customers!$A$2:$A$1001,customers!$C$2:$C$1001,,0,1)=0,"",_xlfn.XLOOKUP(C438,customers!$A$2:$A$1001,customers!$C$2:$C$1001,,0,1))</f>
        <v>orylandc4@deviantart.com</v>
      </c>
      <c r="H438" s="2" t="str">
        <f>_xlfn.XLOOKUP(C438, customers!$A$2:$A$1001, customers!$G$2:$G$1001, , 0, 1)</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Large</v>
      </c>
      <c r="P438" t="str">
        <f>_xlfn.XLOOKUP(Orders[[#This Row],[Customer ID]],customers!$A$1:$A$1001,customers!$I$1:$I$1001,"",0)</f>
        <v>Yes</v>
      </c>
    </row>
    <row r="439" spans="1:16" x14ac:dyDescent="0.3">
      <c r="A439" s="2" t="s">
        <v>2951</v>
      </c>
      <c r="B439" s="3">
        <v>44213</v>
      </c>
      <c r="C439" s="2" t="s">
        <v>2952</v>
      </c>
      <c r="D439" t="s">
        <v>6165</v>
      </c>
      <c r="E439" s="2">
        <v>1</v>
      </c>
      <c r="F439" t="str">
        <f>_xlfn.XLOOKUP(C439, customers!$A$2:$A$1001, customers!$B$2:$B$1001, , 0, 1)</f>
        <v>Willabella Abramski</v>
      </c>
      <c r="G439" s="2" t="str">
        <f>IF(_xlfn.XLOOKUP(C439,customers!$A$2:$A$1001,customers!$C$2:$C$1001,,0,1)=0,"",_xlfn.XLOOKUP(C439,customers!$A$2:$A$1001,customers!$C$2:$C$1001,,0,1))</f>
        <v/>
      </c>
      <c r="H439" s="2" t="str">
        <f>_xlfn.XLOOKUP(C439, customers!$A$2:$A$1001, customers!$G$2:$G$1001, , 0, 1)</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t="str">
        <f>_xlfn.XLOOKUP(C440, customers!$A$2:$A$1001, customers!$B$2:$B$1001, , 0, 1)</f>
        <v>Morgen Seson</v>
      </c>
      <c r="G440" s="2" t="str">
        <f>IF(_xlfn.XLOOKUP(C440,customers!$A$2:$A$1001,customers!$C$2:$C$1001,,0,1)=0,"",_xlfn.XLOOKUP(C440,customers!$A$2:$A$1001,customers!$C$2:$C$1001,,0,1))</f>
        <v>msesonck@census.gov</v>
      </c>
      <c r="H440" s="2" t="str">
        <f>_xlfn.XLOOKUP(C440, customers!$A$2:$A$1001, customers!$G$2:$G$1001, , 0, 1)</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t="str">
        <f>_xlfn.XLOOKUP(C441, customers!$A$2:$A$1001, customers!$B$2:$B$1001, , 0, 1)</f>
        <v>Chickie Ragless</v>
      </c>
      <c r="G441" s="2" t="str">
        <f>IF(_xlfn.XLOOKUP(C441,customers!$A$2:$A$1001,customers!$C$2:$C$1001,,0,1)=0,"",_xlfn.XLOOKUP(C441,customers!$A$2:$A$1001,customers!$C$2:$C$1001,,0,1))</f>
        <v>craglessc7@webmd.com</v>
      </c>
      <c r="H441" s="2" t="str">
        <f>_xlfn.XLOOKUP(C441, customers!$A$2:$A$1001, customers!$G$2:$G$1001, , 0, 1)</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Large</v>
      </c>
      <c r="P441" t="str">
        <f>_xlfn.XLOOKUP(Orders[[#This Row],[Customer ID]],customers!$A$1:$A$1001,customers!$I$1:$I$1001,"",0)</f>
        <v>No</v>
      </c>
    </row>
    <row r="442" spans="1:16" x14ac:dyDescent="0.3">
      <c r="A442" s="2" t="s">
        <v>2968</v>
      </c>
      <c r="B442" s="3">
        <v>44230</v>
      </c>
      <c r="C442" s="2" t="s">
        <v>2969</v>
      </c>
      <c r="D442" t="s">
        <v>6175</v>
      </c>
      <c r="E442" s="2">
        <v>4</v>
      </c>
      <c r="F442" t="str">
        <f>_xlfn.XLOOKUP(C442, customers!$A$2:$A$1001, customers!$B$2:$B$1001, , 0, 1)</f>
        <v>Freda Hollows</v>
      </c>
      <c r="G442" s="2" t="str">
        <f>IF(_xlfn.XLOOKUP(C442,customers!$A$2:$A$1001,customers!$C$2:$C$1001,,0,1)=0,"",_xlfn.XLOOKUP(C442,customers!$A$2:$A$1001,customers!$C$2:$C$1001,,0,1))</f>
        <v>fhollowsc8@blogtalkradio.com</v>
      </c>
      <c r="H442" s="2" t="str">
        <f>_xlfn.XLOOKUP(C442, customers!$A$2:$A$1001, customers!$G$2:$G$1001, , 0, 1)</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t="str">
        <f>_xlfn.XLOOKUP(C443, customers!$A$2:$A$1001, customers!$B$2:$B$1001, , 0, 1)</f>
        <v>Livy Lathleiff</v>
      </c>
      <c r="G443" s="2" t="str">
        <f>IF(_xlfn.XLOOKUP(C443,customers!$A$2:$A$1001,customers!$C$2:$C$1001,,0,1)=0,"",_xlfn.XLOOKUP(C443,customers!$A$2:$A$1001,customers!$C$2:$C$1001,,0,1))</f>
        <v>llathleiffc9@nationalgeographic.com</v>
      </c>
      <c r="H443" s="2" t="str">
        <f>_xlfn.XLOOKUP(C443, customers!$A$2:$A$1001, customers!$G$2:$G$1001, , 0, 1)</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t="str">
        <f>_xlfn.XLOOKUP(C444, customers!$A$2:$A$1001, customers!$B$2:$B$1001, , 0, 1)</f>
        <v>Koralle Heads</v>
      </c>
      <c r="G444" s="2" t="str">
        <f>IF(_xlfn.XLOOKUP(C444,customers!$A$2:$A$1001,customers!$C$2:$C$1001,,0,1)=0,"",_xlfn.XLOOKUP(C444,customers!$A$2:$A$1001,customers!$C$2:$C$1001,,0,1))</f>
        <v>kheadsca@jalbum.net</v>
      </c>
      <c r="H444" s="2" t="str">
        <f>_xlfn.XLOOKUP(C444, customers!$A$2:$A$1001, customers!$G$2:$G$1001, , 0, 1)</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Large</v>
      </c>
      <c r="P444" t="str">
        <f>_xlfn.XLOOKUP(Orders[[#This Row],[Customer ID]],customers!$A$1:$A$1001,customers!$I$1:$I$1001,"",0)</f>
        <v>No</v>
      </c>
    </row>
    <row r="445" spans="1:16" x14ac:dyDescent="0.3">
      <c r="A445" s="2" t="s">
        <v>2986</v>
      </c>
      <c r="B445" s="3">
        <v>44250</v>
      </c>
      <c r="C445" s="2" t="s">
        <v>2987</v>
      </c>
      <c r="D445" t="s">
        <v>6184</v>
      </c>
      <c r="E445" s="2">
        <v>5</v>
      </c>
      <c r="F445" t="str">
        <f>_xlfn.XLOOKUP(C445, customers!$A$2:$A$1001, customers!$B$2:$B$1001, , 0, 1)</f>
        <v>Theo Bowne</v>
      </c>
      <c r="G445" s="2" t="str">
        <f>IF(_xlfn.XLOOKUP(C445,customers!$A$2:$A$1001,customers!$C$2:$C$1001,,0,1)=0,"",_xlfn.XLOOKUP(C445,customers!$A$2:$A$1001,customers!$C$2:$C$1001,,0,1))</f>
        <v>tbownecb@unicef.org</v>
      </c>
      <c r="H445" s="2" t="str">
        <f>_xlfn.XLOOKUP(C445, customers!$A$2:$A$1001, customers!$G$2:$G$1001, , 0, 1)</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Large</v>
      </c>
      <c r="P445" t="str">
        <f>_xlfn.XLOOKUP(Orders[[#This Row],[Customer ID]],customers!$A$1:$A$1001,customers!$I$1:$I$1001,"",0)</f>
        <v>Yes</v>
      </c>
    </row>
    <row r="446" spans="1:16" x14ac:dyDescent="0.3">
      <c r="A446" s="2" t="s">
        <v>2992</v>
      </c>
      <c r="B446" s="3">
        <v>44418</v>
      </c>
      <c r="C446" s="2" t="s">
        <v>2993</v>
      </c>
      <c r="D446" t="s">
        <v>6156</v>
      </c>
      <c r="E446" s="2">
        <v>6</v>
      </c>
      <c r="F446" t="str">
        <f>_xlfn.XLOOKUP(C446, customers!$A$2:$A$1001, customers!$B$2:$B$1001, , 0, 1)</f>
        <v>Rasia Jacquemard</v>
      </c>
      <c r="G446" s="2" t="str">
        <f>IF(_xlfn.XLOOKUP(C446,customers!$A$2:$A$1001,customers!$C$2:$C$1001,,0,1)=0,"",_xlfn.XLOOKUP(C446,customers!$A$2:$A$1001,customers!$C$2:$C$1001,,0,1))</f>
        <v>rjacquemardcc@acquirethisname.com</v>
      </c>
      <c r="H446" s="2" t="str">
        <f>_xlfn.XLOOKUP(C446, customers!$A$2:$A$1001, customers!$G$2:$G$1001, , 0, 1)</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t="str">
        <f>_xlfn.XLOOKUP(C447, customers!$A$2:$A$1001, customers!$B$2:$B$1001, , 0, 1)</f>
        <v>Kizzie Warman</v>
      </c>
      <c r="G447" s="2" t="str">
        <f>IF(_xlfn.XLOOKUP(C447,customers!$A$2:$A$1001,customers!$C$2:$C$1001,,0,1)=0,"",_xlfn.XLOOKUP(C447,customers!$A$2:$A$1001,customers!$C$2:$C$1001,,0,1))</f>
        <v>kwarmancd@printfriendly.com</v>
      </c>
      <c r="H447" s="2" t="str">
        <f>_xlfn.XLOOKUP(C447, customers!$A$2:$A$1001, customers!$G$2:$G$1001, , 0, 1)</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t="str">
        <f>_xlfn.XLOOKUP(C448, customers!$A$2:$A$1001, customers!$B$2:$B$1001, , 0, 1)</f>
        <v>Wain Cholomin</v>
      </c>
      <c r="G448" s="2" t="str">
        <f>IF(_xlfn.XLOOKUP(C448,customers!$A$2:$A$1001,customers!$C$2:$C$1001,,0,1)=0,"",_xlfn.XLOOKUP(C448,customers!$A$2:$A$1001,customers!$C$2:$C$1001,,0,1))</f>
        <v>wcholomince@about.com</v>
      </c>
      <c r="H448" s="2" t="str">
        <f>_xlfn.XLOOKUP(C448, customers!$A$2:$A$1001, customers!$G$2:$G$1001, , 0, 1)</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t="str">
        <f>_xlfn.XLOOKUP(C449, customers!$A$2:$A$1001, customers!$B$2:$B$1001, , 0, 1)</f>
        <v>Arleen Braidman</v>
      </c>
      <c r="G449" s="2" t="str">
        <f>IF(_xlfn.XLOOKUP(C449,customers!$A$2:$A$1001,customers!$C$2:$C$1001,,0,1)=0,"",_xlfn.XLOOKUP(C449,customers!$A$2:$A$1001,customers!$C$2:$C$1001,,0,1))</f>
        <v>abraidmancf@census.gov</v>
      </c>
      <c r="H449" s="2" t="str">
        <f>_xlfn.XLOOKUP(C449, customers!$A$2:$A$1001, customers!$G$2:$G$1001, , 0, 1)</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t="str">
        <f>_xlfn.XLOOKUP(C450, customers!$A$2:$A$1001, customers!$B$2:$B$1001, , 0, 1)</f>
        <v>Pru Durban</v>
      </c>
      <c r="G450" s="2" t="str">
        <f>IF(_xlfn.XLOOKUP(C450,customers!$A$2:$A$1001,customers!$C$2:$C$1001,,0,1)=0,"",_xlfn.XLOOKUP(C450,customers!$A$2:$A$1001,customers!$C$2:$C$1001,,0,1))</f>
        <v>pdurbancg@symantec.com</v>
      </c>
      <c r="H450" s="2" t="str">
        <f>_xlfn.XLOOKUP(C450, customers!$A$2:$A$1001, customers!$G$2:$G$1001, , 0, 1)</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Large</v>
      </c>
      <c r="P450" t="str">
        <f>_xlfn.XLOOKUP(Orders[[#This Row],[Customer ID]],customers!$A$1:$A$1001,customers!$I$1:$I$1001,"",0)</f>
        <v>No</v>
      </c>
    </row>
    <row r="451" spans="1:16" x14ac:dyDescent="0.3">
      <c r="A451" s="2" t="s">
        <v>3021</v>
      </c>
      <c r="B451" s="3">
        <v>44336</v>
      </c>
      <c r="C451" s="2" t="s">
        <v>3022</v>
      </c>
      <c r="D451" t="s">
        <v>6163</v>
      </c>
      <c r="E451" s="2">
        <v>2</v>
      </c>
      <c r="F451" t="str">
        <f>_xlfn.XLOOKUP(C451, customers!$A$2:$A$1001, customers!$B$2:$B$1001, , 0, 1)</f>
        <v>Antone Harrold</v>
      </c>
      <c r="G451" s="2" t="str">
        <f>IF(_xlfn.XLOOKUP(C451,customers!$A$2:$A$1001,customers!$C$2:$C$1001,,0,1)=0,"",_xlfn.XLOOKUP(C451,customers!$A$2:$A$1001,customers!$C$2:$C$1001,,0,1))</f>
        <v>aharroldch@miibeian.gov.cn</v>
      </c>
      <c r="H451" s="2" t="str">
        <f>_xlfn.XLOOKUP(C451, customers!$A$2:$A$1001, customers!$G$2:$G$1001, , 0, 1)</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IF(J451="M","Medium",IF(J451="L","Large",IF(J451="D","Dark","")))</f>
        <v>Dark</v>
      </c>
      <c r="P451" t="str">
        <f>_xlfn.XLOOKUP(Orders[[#This Row],[Customer ID]],customers!$A$1:$A$1001,customers!$I$1:$I$1001,"",0)</f>
        <v>No</v>
      </c>
    </row>
    <row r="452" spans="1:16" x14ac:dyDescent="0.3">
      <c r="A452" s="2" t="s">
        <v>3027</v>
      </c>
      <c r="B452" s="3">
        <v>44207</v>
      </c>
      <c r="C452" s="2" t="s">
        <v>3028</v>
      </c>
      <c r="D452" t="s">
        <v>6145</v>
      </c>
      <c r="E452" s="2">
        <v>5</v>
      </c>
      <c r="F452" t="str">
        <f>_xlfn.XLOOKUP(C452, customers!$A$2:$A$1001, customers!$B$2:$B$1001, , 0, 1)</f>
        <v>Sim Pamphilon</v>
      </c>
      <c r="G452" s="2" t="str">
        <f>IF(_xlfn.XLOOKUP(C452,customers!$A$2:$A$1001,customers!$C$2:$C$1001,,0,1)=0,"",_xlfn.XLOOKUP(C452,customers!$A$2:$A$1001,customers!$C$2:$C$1001,,0,1))</f>
        <v>spamphilonci@mlb.com</v>
      </c>
      <c r="H452" s="2" t="str">
        <f>_xlfn.XLOOKUP(C452, customers!$A$2:$A$1001, customers!$G$2:$G$1001, , 0, 1)</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Large</v>
      </c>
      <c r="P452" t="str">
        <f>_xlfn.XLOOKUP(Orders[[#This Row],[Customer ID]],customers!$A$1:$A$1001,customers!$I$1:$I$1001,"",0)</f>
        <v>No</v>
      </c>
    </row>
    <row r="453" spans="1:16" x14ac:dyDescent="0.3">
      <c r="A453" s="2" t="s">
        <v>3035</v>
      </c>
      <c r="B453" s="3">
        <v>43518</v>
      </c>
      <c r="C453" s="2" t="s">
        <v>3036</v>
      </c>
      <c r="D453" t="s">
        <v>6149</v>
      </c>
      <c r="E453" s="2">
        <v>2</v>
      </c>
      <c r="F453" t="str">
        <f>_xlfn.XLOOKUP(C453, customers!$A$2:$A$1001, customers!$B$2:$B$1001, , 0, 1)</f>
        <v>Mohandis Spurden</v>
      </c>
      <c r="G453" s="2" t="str">
        <f>IF(_xlfn.XLOOKUP(C453,customers!$A$2:$A$1001,customers!$C$2:$C$1001,,0,1)=0,"",_xlfn.XLOOKUP(C453,customers!$A$2:$A$1001,customers!$C$2:$C$1001,,0,1))</f>
        <v>mspurdencj@exblog.jp</v>
      </c>
      <c r="H453" s="2" t="str">
        <f>_xlfn.XLOOKUP(C453, customers!$A$2:$A$1001, customers!$G$2:$G$1001, , 0, 1)</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t="str">
        <f>_xlfn.XLOOKUP(C454, customers!$A$2:$A$1001, customers!$B$2:$B$1001, , 0, 1)</f>
        <v>Morgen Seson</v>
      </c>
      <c r="G454" s="2" t="str">
        <f>IF(_xlfn.XLOOKUP(C454,customers!$A$2:$A$1001,customers!$C$2:$C$1001,,0,1)=0,"",_xlfn.XLOOKUP(C454,customers!$A$2:$A$1001,customers!$C$2:$C$1001,,0,1))</f>
        <v>msesonck@census.gov</v>
      </c>
      <c r="H454" s="2" t="str">
        <f>_xlfn.XLOOKUP(C454, customers!$A$2:$A$1001, customers!$G$2:$G$1001, , 0, 1)</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Large</v>
      </c>
      <c r="P454" t="str">
        <f>_xlfn.XLOOKUP(Orders[[#This Row],[Customer ID]],customers!$A$1:$A$1001,customers!$I$1:$I$1001,"",0)</f>
        <v>No</v>
      </c>
    </row>
    <row r="455" spans="1:16" x14ac:dyDescent="0.3">
      <c r="A455" s="2" t="s">
        <v>3047</v>
      </c>
      <c r="B455" s="3">
        <v>44579</v>
      </c>
      <c r="C455" s="2" t="s">
        <v>3048</v>
      </c>
      <c r="D455" t="s">
        <v>6161</v>
      </c>
      <c r="E455" s="2">
        <v>4</v>
      </c>
      <c r="F455" t="str">
        <f>_xlfn.XLOOKUP(C455, customers!$A$2:$A$1001, customers!$B$2:$B$1001, , 0, 1)</f>
        <v>Nalani Pirrone</v>
      </c>
      <c r="G455" s="2" t="str">
        <f>IF(_xlfn.XLOOKUP(C455,customers!$A$2:$A$1001,customers!$C$2:$C$1001,,0,1)=0,"",_xlfn.XLOOKUP(C455,customers!$A$2:$A$1001,customers!$C$2:$C$1001,,0,1))</f>
        <v>npirronecl@weibo.com</v>
      </c>
      <c r="H455" s="2" t="str">
        <f>_xlfn.XLOOKUP(C455, customers!$A$2:$A$1001, customers!$G$2:$G$1001, , 0, 1)</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Large</v>
      </c>
      <c r="P455" t="str">
        <f>_xlfn.XLOOKUP(Orders[[#This Row],[Customer ID]],customers!$A$1:$A$1001,customers!$I$1:$I$1001,"",0)</f>
        <v>No</v>
      </c>
    </row>
    <row r="456" spans="1:16" x14ac:dyDescent="0.3">
      <c r="A456" s="2" t="s">
        <v>3053</v>
      </c>
      <c r="B456" s="3">
        <v>44421</v>
      </c>
      <c r="C456" s="2" t="s">
        <v>3054</v>
      </c>
      <c r="D456" t="s">
        <v>6149</v>
      </c>
      <c r="E456" s="2">
        <v>4</v>
      </c>
      <c r="F456" t="str">
        <f>_xlfn.XLOOKUP(C456, customers!$A$2:$A$1001, customers!$B$2:$B$1001, , 0, 1)</f>
        <v>Reube Cawley</v>
      </c>
      <c r="G456" s="2" t="str">
        <f>IF(_xlfn.XLOOKUP(C456,customers!$A$2:$A$1001,customers!$C$2:$C$1001,,0,1)=0,"",_xlfn.XLOOKUP(C456,customers!$A$2:$A$1001,customers!$C$2:$C$1001,,0,1))</f>
        <v>rcawleycm@yellowbook.com</v>
      </c>
      <c r="H456" s="2" t="str">
        <f>_xlfn.XLOOKUP(C456, customers!$A$2:$A$1001, customers!$G$2:$G$1001, , 0, 1)</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t="str">
        <f>_xlfn.XLOOKUP(C457, customers!$A$2:$A$1001, customers!$B$2:$B$1001, , 0, 1)</f>
        <v>Stan Barribal</v>
      </c>
      <c r="G457" s="2" t="str">
        <f>IF(_xlfn.XLOOKUP(C457,customers!$A$2:$A$1001,customers!$C$2:$C$1001,,0,1)=0,"",_xlfn.XLOOKUP(C457,customers!$A$2:$A$1001,customers!$C$2:$C$1001,,0,1))</f>
        <v>sbarribalcn@microsoft.com</v>
      </c>
      <c r="H457" s="2" t="str">
        <f>_xlfn.XLOOKUP(C457, customers!$A$2:$A$1001, customers!$G$2:$G$1001, , 0, 1)</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Large</v>
      </c>
      <c r="P457" t="str">
        <f>_xlfn.XLOOKUP(Orders[[#This Row],[Customer ID]],customers!$A$1:$A$1001,customers!$I$1:$I$1001,"",0)</f>
        <v>Yes</v>
      </c>
    </row>
    <row r="458" spans="1:16" x14ac:dyDescent="0.3">
      <c r="A458" s="2" t="s">
        <v>3064</v>
      </c>
      <c r="B458" s="3">
        <v>44017</v>
      </c>
      <c r="C458" s="2" t="s">
        <v>3065</v>
      </c>
      <c r="D458" t="s">
        <v>6149</v>
      </c>
      <c r="E458" s="2">
        <v>2</v>
      </c>
      <c r="F458" t="str">
        <f>_xlfn.XLOOKUP(C458, customers!$A$2:$A$1001, customers!$B$2:$B$1001, , 0, 1)</f>
        <v>Agnes Adamides</v>
      </c>
      <c r="G458" s="2" t="str">
        <f>IF(_xlfn.XLOOKUP(C458,customers!$A$2:$A$1001,customers!$C$2:$C$1001,,0,1)=0,"",_xlfn.XLOOKUP(C458,customers!$A$2:$A$1001,customers!$C$2:$C$1001,,0,1))</f>
        <v>aadamidesco@bizjournals.com</v>
      </c>
      <c r="H458" s="2" t="str">
        <f>_xlfn.XLOOKUP(C458, customers!$A$2:$A$1001, customers!$G$2:$G$1001, , 0, 1)</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t="str">
        <f>_xlfn.XLOOKUP(C459, customers!$A$2:$A$1001, customers!$B$2:$B$1001, , 0, 1)</f>
        <v>Carmelita Thowes</v>
      </c>
      <c r="G459" s="2" t="str">
        <f>IF(_xlfn.XLOOKUP(C459,customers!$A$2:$A$1001,customers!$C$2:$C$1001,,0,1)=0,"",_xlfn.XLOOKUP(C459,customers!$A$2:$A$1001,customers!$C$2:$C$1001,,0,1))</f>
        <v>cthowescp@craigslist.org</v>
      </c>
      <c r="H459" s="2" t="str">
        <f>_xlfn.XLOOKUP(C459, customers!$A$2:$A$1001, customers!$G$2:$G$1001, , 0, 1)</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Large</v>
      </c>
      <c r="P459" t="str">
        <f>_xlfn.XLOOKUP(Orders[[#This Row],[Customer ID]],customers!$A$1:$A$1001,customers!$I$1:$I$1001,"",0)</f>
        <v>No</v>
      </c>
    </row>
    <row r="460" spans="1:16" x14ac:dyDescent="0.3">
      <c r="A460" s="2" t="s">
        <v>3076</v>
      </c>
      <c r="B460" s="3">
        <v>44707</v>
      </c>
      <c r="C460" s="2" t="s">
        <v>3077</v>
      </c>
      <c r="D460" t="s">
        <v>6155</v>
      </c>
      <c r="E460" s="2">
        <v>4</v>
      </c>
      <c r="F460" t="str">
        <f>_xlfn.XLOOKUP(C460, customers!$A$2:$A$1001, customers!$B$2:$B$1001, , 0, 1)</f>
        <v>Rodolfo Willoway</v>
      </c>
      <c r="G460" s="2" t="str">
        <f>IF(_xlfn.XLOOKUP(C460,customers!$A$2:$A$1001,customers!$C$2:$C$1001,,0,1)=0,"",_xlfn.XLOOKUP(C460,customers!$A$2:$A$1001,customers!$C$2:$C$1001,,0,1))</f>
        <v>rwillowaycq@admin.ch</v>
      </c>
      <c r="H460" s="2" t="str">
        <f>_xlfn.XLOOKUP(C460, customers!$A$2:$A$1001, customers!$G$2:$G$1001, , 0, 1)</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t="str">
        <f>_xlfn.XLOOKUP(C461, customers!$A$2:$A$1001, customers!$B$2:$B$1001, , 0, 1)</f>
        <v>Alvis Elwin</v>
      </c>
      <c r="G461" s="2" t="str">
        <f>IF(_xlfn.XLOOKUP(C461,customers!$A$2:$A$1001,customers!$C$2:$C$1001,,0,1)=0,"",_xlfn.XLOOKUP(C461,customers!$A$2:$A$1001,customers!$C$2:$C$1001,,0,1))</f>
        <v>aelwincr@privacy.gov.au</v>
      </c>
      <c r="H461" s="2" t="str">
        <f>_xlfn.XLOOKUP(C461, customers!$A$2:$A$1001, customers!$G$2:$G$1001, , 0, 1)</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Large</v>
      </c>
      <c r="P461" t="str">
        <f>_xlfn.XLOOKUP(Orders[[#This Row],[Customer ID]],customers!$A$1:$A$1001,customers!$I$1:$I$1001,"",0)</f>
        <v>No</v>
      </c>
    </row>
    <row r="462" spans="1:16" x14ac:dyDescent="0.3">
      <c r="A462" s="2" t="s">
        <v>3088</v>
      </c>
      <c r="B462" s="3">
        <v>43602</v>
      </c>
      <c r="C462" s="2" t="s">
        <v>3089</v>
      </c>
      <c r="D462" t="s">
        <v>6172</v>
      </c>
      <c r="E462" s="2">
        <v>3</v>
      </c>
      <c r="F462" t="str">
        <f>_xlfn.XLOOKUP(C462, customers!$A$2:$A$1001, customers!$B$2:$B$1001, , 0, 1)</f>
        <v>Araldo Bilbrook</v>
      </c>
      <c r="G462" s="2" t="str">
        <f>IF(_xlfn.XLOOKUP(C462,customers!$A$2:$A$1001,customers!$C$2:$C$1001,,0,1)=0,"",_xlfn.XLOOKUP(C462,customers!$A$2:$A$1001,customers!$C$2:$C$1001,,0,1))</f>
        <v>abilbrookcs@booking.com</v>
      </c>
      <c r="H462" s="2" t="str">
        <f>_xlfn.XLOOKUP(C462, customers!$A$2:$A$1001, customers!$G$2:$G$1001, , 0, 1)</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t="str">
        <f>_xlfn.XLOOKUP(C463, customers!$A$2:$A$1001, customers!$B$2:$B$1001, , 0, 1)</f>
        <v>Ransell McKall</v>
      </c>
      <c r="G463" s="2" t="str">
        <f>IF(_xlfn.XLOOKUP(C463,customers!$A$2:$A$1001,customers!$C$2:$C$1001,,0,1)=0,"",_xlfn.XLOOKUP(C463,customers!$A$2:$A$1001,customers!$C$2:$C$1001,,0,1))</f>
        <v>rmckallct@sakura.ne.jp</v>
      </c>
      <c r="H463" s="2" t="str">
        <f>_xlfn.XLOOKUP(C463, customers!$A$2:$A$1001, customers!$G$2:$G$1001, , 0, 1)</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t="str">
        <f>_xlfn.XLOOKUP(C464, customers!$A$2:$A$1001, customers!$B$2:$B$1001, , 0, 1)</f>
        <v>Borg Daile</v>
      </c>
      <c r="G464" s="2" t="str">
        <f>IF(_xlfn.XLOOKUP(C464,customers!$A$2:$A$1001,customers!$C$2:$C$1001,,0,1)=0,"",_xlfn.XLOOKUP(C464,customers!$A$2:$A$1001,customers!$C$2:$C$1001,,0,1))</f>
        <v>bdailecu@vistaprint.com</v>
      </c>
      <c r="H464" s="2" t="str">
        <f>_xlfn.XLOOKUP(C464, customers!$A$2:$A$1001, customers!$G$2:$G$1001, , 0, 1)</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t="str">
        <f>_xlfn.XLOOKUP(C465, customers!$A$2:$A$1001, customers!$B$2:$B$1001, , 0, 1)</f>
        <v>Adolphe Treherne</v>
      </c>
      <c r="G465" s="2" t="str">
        <f>IF(_xlfn.XLOOKUP(C465,customers!$A$2:$A$1001,customers!$C$2:$C$1001,,0,1)=0,"",_xlfn.XLOOKUP(C465,customers!$A$2:$A$1001,customers!$C$2:$C$1001,,0,1))</f>
        <v>atrehernecv@state.tx.us</v>
      </c>
      <c r="H465" s="2" t="str">
        <f>_xlfn.XLOOKUP(C465, customers!$A$2:$A$1001, customers!$G$2:$G$1001, , 0, 1)</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t="str">
        <f>_xlfn.XLOOKUP(C466, customers!$A$2:$A$1001, customers!$B$2:$B$1001, , 0, 1)</f>
        <v>Annetta Brentnall</v>
      </c>
      <c r="G466" s="2" t="str">
        <f>IF(_xlfn.XLOOKUP(C466,customers!$A$2:$A$1001,customers!$C$2:$C$1001,,0,1)=0,"",_xlfn.XLOOKUP(C466,customers!$A$2:$A$1001,customers!$C$2:$C$1001,,0,1))</f>
        <v>abrentnallcw@biglobe.ne.jp</v>
      </c>
      <c r="H466" s="2" t="str">
        <f>_xlfn.XLOOKUP(C466, customers!$A$2:$A$1001, customers!$G$2:$G$1001, , 0, 1)</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t="str">
        <f>_xlfn.XLOOKUP(C467, customers!$A$2:$A$1001, customers!$B$2:$B$1001, , 0, 1)</f>
        <v>Dick Drinkall</v>
      </c>
      <c r="G467" s="2" t="str">
        <f>IF(_xlfn.XLOOKUP(C467,customers!$A$2:$A$1001,customers!$C$2:$C$1001,,0,1)=0,"",_xlfn.XLOOKUP(C467,customers!$A$2:$A$1001,customers!$C$2:$C$1001,,0,1))</f>
        <v>ddrinkallcx@psu.edu</v>
      </c>
      <c r="H467" s="2" t="str">
        <f>_xlfn.XLOOKUP(C467, customers!$A$2:$A$1001, customers!$G$2:$G$1001, , 0, 1)</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t="str">
        <f>_xlfn.XLOOKUP(C468, customers!$A$2:$A$1001, customers!$B$2:$B$1001, , 0, 1)</f>
        <v>Dagny Kornel</v>
      </c>
      <c r="G468" s="2" t="str">
        <f>IF(_xlfn.XLOOKUP(C468,customers!$A$2:$A$1001,customers!$C$2:$C$1001,,0,1)=0,"",_xlfn.XLOOKUP(C468,customers!$A$2:$A$1001,customers!$C$2:$C$1001,,0,1))</f>
        <v>dkornelcy@cyberchimps.com</v>
      </c>
      <c r="H468" s="2" t="str">
        <f>_xlfn.XLOOKUP(C468, customers!$A$2:$A$1001, customers!$G$2:$G$1001, , 0, 1)</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t="str">
        <f>_xlfn.XLOOKUP(C469, customers!$A$2:$A$1001, customers!$B$2:$B$1001, , 0, 1)</f>
        <v>Rhona Lequeux</v>
      </c>
      <c r="G469" s="2" t="str">
        <f>IF(_xlfn.XLOOKUP(C469,customers!$A$2:$A$1001,customers!$C$2:$C$1001,,0,1)=0,"",_xlfn.XLOOKUP(C469,customers!$A$2:$A$1001,customers!$C$2:$C$1001,,0,1))</f>
        <v>rlequeuxcz@newyorker.com</v>
      </c>
      <c r="H469" s="2" t="str">
        <f>_xlfn.XLOOKUP(C469, customers!$A$2:$A$1001, customers!$G$2:$G$1001, , 0, 1)</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t="str">
        <f>_xlfn.XLOOKUP(C470, customers!$A$2:$A$1001, customers!$B$2:$B$1001, , 0, 1)</f>
        <v>Julius Mccaull</v>
      </c>
      <c r="G470" s="2" t="str">
        <f>IF(_xlfn.XLOOKUP(C470,customers!$A$2:$A$1001,customers!$C$2:$C$1001,,0,1)=0,"",_xlfn.XLOOKUP(C470,customers!$A$2:$A$1001,customers!$C$2:$C$1001,,0,1))</f>
        <v>jmccaulld0@parallels.com</v>
      </c>
      <c r="H470" s="2" t="str">
        <f>_xlfn.XLOOKUP(C470, customers!$A$2:$A$1001, customers!$G$2:$G$1001, , 0, 1)</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t="str">
        <f>_xlfn.XLOOKUP(C471, customers!$A$2:$A$1001, customers!$B$2:$B$1001, , 0, 1)</f>
        <v>Ailey Brash</v>
      </c>
      <c r="G471" s="2" t="str">
        <f>IF(_xlfn.XLOOKUP(C471,customers!$A$2:$A$1001,customers!$C$2:$C$1001,,0,1)=0,"",_xlfn.XLOOKUP(C471,customers!$A$2:$A$1001,customers!$C$2:$C$1001,,0,1))</f>
        <v>abrashda@plala.or.jp</v>
      </c>
      <c r="H471" s="2" t="str">
        <f>_xlfn.XLOOKUP(C471, customers!$A$2:$A$1001, customers!$G$2:$G$1001, , 0, 1)</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Large</v>
      </c>
      <c r="P471" t="str">
        <f>_xlfn.XLOOKUP(Orders[[#This Row],[Customer ID]],customers!$A$1:$A$1001,customers!$I$1:$I$1001,"",0)</f>
        <v>Yes</v>
      </c>
    </row>
    <row r="472" spans="1:16" x14ac:dyDescent="0.3">
      <c r="A472" s="2" t="s">
        <v>3147</v>
      </c>
      <c r="B472" s="3">
        <v>44656</v>
      </c>
      <c r="C472" s="2" t="s">
        <v>3148</v>
      </c>
      <c r="D472" t="s">
        <v>6157</v>
      </c>
      <c r="E472" s="2">
        <v>1</v>
      </c>
      <c r="F472" t="str">
        <f>_xlfn.XLOOKUP(C472, customers!$A$2:$A$1001, customers!$B$2:$B$1001, , 0, 1)</f>
        <v>Alberto Hutchinson</v>
      </c>
      <c r="G472" s="2" t="str">
        <f>IF(_xlfn.XLOOKUP(C472,customers!$A$2:$A$1001,customers!$C$2:$C$1001,,0,1)=0,"",_xlfn.XLOOKUP(C472,customers!$A$2:$A$1001,customers!$C$2:$C$1001,,0,1))</f>
        <v>ahutchinsond2@imgur.com</v>
      </c>
      <c r="H472" s="2" t="str">
        <f>_xlfn.XLOOKUP(C472, customers!$A$2:$A$1001, customers!$G$2:$G$1001, , 0, 1)</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t="str">
        <f>_xlfn.XLOOKUP(C473, customers!$A$2:$A$1001, customers!$B$2:$B$1001, , 0, 1)</f>
        <v>Lamond Gheeraert</v>
      </c>
      <c r="G473" s="2" t="str">
        <f>IF(_xlfn.XLOOKUP(C473,customers!$A$2:$A$1001,customers!$C$2:$C$1001,,0,1)=0,"",_xlfn.XLOOKUP(C473,customers!$A$2:$A$1001,customers!$C$2:$C$1001,,0,1))</f>
        <v/>
      </c>
      <c r="H473" s="2" t="str">
        <f>_xlfn.XLOOKUP(C473, customers!$A$2:$A$1001, customers!$G$2:$G$1001, , 0, 1)</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t="str">
        <f>_xlfn.XLOOKUP(C474, customers!$A$2:$A$1001, customers!$B$2:$B$1001, , 0, 1)</f>
        <v>Roxine Drivers</v>
      </c>
      <c r="G474" s="2" t="str">
        <f>IF(_xlfn.XLOOKUP(C474,customers!$A$2:$A$1001,customers!$C$2:$C$1001,,0,1)=0,"",_xlfn.XLOOKUP(C474,customers!$A$2:$A$1001,customers!$C$2:$C$1001,,0,1))</f>
        <v>rdriversd4@hexun.com</v>
      </c>
      <c r="H474" s="2" t="str">
        <f>_xlfn.XLOOKUP(C474, customers!$A$2:$A$1001, customers!$G$2:$G$1001, , 0, 1)</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t="str">
        <f>_xlfn.XLOOKUP(C475, customers!$A$2:$A$1001, customers!$B$2:$B$1001, , 0, 1)</f>
        <v>Heloise Zeal</v>
      </c>
      <c r="G475" s="2" t="str">
        <f>IF(_xlfn.XLOOKUP(C475,customers!$A$2:$A$1001,customers!$C$2:$C$1001,,0,1)=0,"",_xlfn.XLOOKUP(C475,customers!$A$2:$A$1001,customers!$C$2:$C$1001,,0,1))</f>
        <v>hzeald5@google.de</v>
      </c>
      <c r="H475" s="2" t="str">
        <f>_xlfn.XLOOKUP(C475, customers!$A$2:$A$1001, customers!$G$2:$G$1001, , 0, 1)</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Large</v>
      </c>
      <c r="P475" t="str">
        <f>_xlfn.XLOOKUP(Orders[[#This Row],[Customer ID]],customers!$A$1:$A$1001,customers!$I$1:$I$1001,"",0)</f>
        <v>No</v>
      </c>
    </row>
    <row r="476" spans="1:16" x14ac:dyDescent="0.3">
      <c r="A476" s="2" t="s">
        <v>3170</v>
      </c>
      <c r="B476" s="3">
        <v>44014</v>
      </c>
      <c r="C476" s="2" t="s">
        <v>3171</v>
      </c>
      <c r="D476" t="s">
        <v>6166</v>
      </c>
      <c r="E476" s="2">
        <v>1</v>
      </c>
      <c r="F476" t="str">
        <f>_xlfn.XLOOKUP(C476, customers!$A$2:$A$1001, customers!$B$2:$B$1001, , 0, 1)</f>
        <v>Granger Smallcombe</v>
      </c>
      <c r="G476" s="2" t="str">
        <f>IF(_xlfn.XLOOKUP(C476,customers!$A$2:$A$1001,customers!$C$2:$C$1001,,0,1)=0,"",_xlfn.XLOOKUP(C476,customers!$A$2:$A$1001,customers!$C$2:$C$1001,,0,1))</f>
        <v>gsmallcombed6@ucla.edu</v>
      </c>
      <c r="H476" s="2" t="str">
        <f>_xlfn.XLOOKUP(C476, customers!$A$2:$A$1001, customers!$G$2:$G$1001, , 0, 1)</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t="str">
        <f>_xlfn.XLOOKUP(C477, customers!$A$2:$A$1001, customers!$B$2:$B$1001, , 0, 1)</f>
        <v>Daryn Dibley</v>
      </c>
      <c r="G477" s="2" t="str">
        <f>IF(_xlfn.XLOOKUP(C477,customers!$A$2:$A$1001,customers!$C$2:$C$1001,,0,1)=0,"",_xlfn.XLOOKUP(C477,customers!$A$2:$A$1001,customers!$C$2:$C$1001,,0,1))</f>
        <v>ddibleyd7@feedburner.com</v>
      </c>
      <c r="H477" s="2" t="str">
        <f>_xlfn.XLOOKUP(C477, customers!$A$2:$A$1001, customers!$G$2:$G$1001, , 0, 1)</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t="str">
        <f>_xlfn.XLOOKUP(C478, customers!$A$2:$A$1001, customers!$B$2:$B$1001, , 0, 1)</f>
        <v>Gardy Dimitriou</v>
      </c>
      <c r="G478" s="2" t="str">
        <f>IF(_xlfn.XLOOKUP(C478,customers!$A$2:$A$1001,customers!$C$2:$C$1001,,0,1)=0,"",_xlfn.XLOOKUP(C478,customers!$A$2:$A$1001,customers!$C$2:$C$1001,,0,1))</f>
        <v>gdimitrioud8@chronoengine.com</v>
      </c>
      <c r="H478" s="2" t="str">
        <f>_xlfn.XLOOKUP(C478, customers!$A$2:$A$1001, customers!$G$2:$G$1001, , 0, 1)</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Large</v>
      </c>
      <c r="P478" t="str">
        <f>_xlfn.XLOOKUP(Orders[[#This Row],[Customer ID]],customers!$A$1:$A$1001,customers!$I$1:$I$1001,"",0)</f>
        <v>Yes</v>
      </c>
    </row>
    <row r="479" spans="1:16" x14ac:dyDescent="0.3">
      <c r="A479" s="2" t="s">
        <v>3187</v>
      </c>
      <c r="B479" s="3">
        <v>43962</v>
      </c>
      <c r="C479" s="2" t="s">
        <v>3188</v>
      </c>
      <c r="D479" t="s">
        <v>6159</v>
      </c>
      <c r="E479" s="2">
        <v>6</v>
      </c>
      <c r="F479" t="str">
        <f>_xlfn.XLOOKUP(C479, customers!$A$2:$A$1001, customers!$B$2:$B$1001, , 0, 1)</f>
        <v>Fanny Flanagan</v>
      </c>
      <c r="G479" s="2" t="str">
        <f>IF(_xlfn.XLOOKUP(C479,customers!$A$2:$A$1001,customers!$C$2:$C$1001,,0,1)=0,"",_xlfn.XLOOKUP(C479,customers!$A$2:$A$1001,customers!$C$2:$C$1001,,0,1))</f>
        <v>fflanagand9@woothemes.com</v>
      </c>
      <c r="H479" s="2" t="str">
        <f>_xlfn.XLOOKUP(C479, customers!$A$2:$A$1001, customers!$G$2:$G$1001, , 0, 1)</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t="str">
        <f>_xlfn.XLOOKUP(C480, customers!$A$2:$A$1001, customers!$B$2:$B$1001, , 0, 1)</f>
        <v>Ailey Brash</v>
      </c>
      <c r="G480" s="2" t="str">
        <f>IF(_xlfn.XLOOKUP(C480,customers!$A$2:$A$1001,customers!$C$2:$C$1001,,0,1)=0,"",_xlfn.XLOOKUP(C480,customers!$A$2:$A$1001,customers!$C$2:$C$1001,,0,1))</f>
        <v>abrashda@plala.or.jp</v>
      </c>
      <c r="H480" s="2" t="str">
        <f>_xlfn.XLOOKUP(C480, customers!$A$2:$A$1001, customers!$G$2:$G$1001, , 0, 1)</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t="str">
        <f>_xlfn.XLOOKUP(C481, customers!$A$2:$A$1001, customers!$B$2:$B$1001, , 0, 1)</f>
        <v>Ailey Brash</v>
      </c>
      <c r="G481" s="2" t="str">
        <f>IF(_xlfn.XLOOKUP(C481,customers!$A$2:$A$1001,customers!$C$2:$C$1001,,0,1)=0,"",_xlfn.XLOOKUP(C481,customers!$A$2:$A$1001,customers!$C$2:$C$1001,,0,1))</f>
        <v>abrashda@plala.or.jp</v>
      </c>
      <c r="H481" s="2" t="str">
        <f>_xlfn.XLOOKUP(C481, customers!$A$2:$A$1001, customers!$G$2:$G$1001, , 0, 1)</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t="str">
        <f>_xlfn.XLOOKUP(C482, customers!$A$2:$A$1001, customers!$B$2:$B$1001, , 0, 1)</f>
        <v>Ailey Brash</v>
      </c>
      <c r="G482" s="2" t="str">
        <f>IF(_xlfn.XLOOKUP(C482,customers!$A$2:$A$1001,customers!$C$2:$C$1001,,0,1)=0,"",_xlfn.XLOOKUP(C482,customers!$A$2:$A$1001,customers!$C$2:$C$1001,,0,1))</f>
        <v>abrashda@plala.or.jp</v>
      </c>
      <c r="H482" s="2" t="str">
        <f>_xlfn.XLOOKUP(C482, customers!$A$2:$A$1001, customers!$G$2:$G$1001, , 0, 1)</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t="str">
        <f>_xlfn.XLOOKUP(C483, customers!$A$2:$A$1001, customers!$B$2:$B$1001, , 0, 1)</f>
        <v>Nanny Izhakov</v>
      </c>
      <c r="G483" s="2" t="str">
        <f>IF(_xlfn.XLOOKUP(C483,customers!$A$2:$A$1001,customers!$C$2:$C$1001,,0,1)=0,"",_xlfn.XLOOKUP(C483,customers!$A$2:$A$1001,customers!$C$2:$C$1001,,0,1))</f>
        <v>nizhakovdd@aol.com</v>
      </c>
      <c r="H483" s="2" t="str">
        <f>_xlfn.XLOOKUP(C483, customers!$A$2:$A$1001, customers!$G$2:$G$1001, , 0, 1)</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Large</v>
      </c>
      <c r="P483" t="str">
        <f>_xlfn.XLOOKUP(Orders[[#This Row],[Customer ID]],customers!$A$1:$A$1001,customers!$I$1:$I$1001,"",0)</f>
        <v>No</v>
      </c>
    </row>
    <row r="484" spans="1:16" x14ac:dyDescent="0.3">
      <c r="A484" s="2" t="s">
        <v>3214</v>
      </c>
      <c r="B484" s="3">
        <v>44247</v>
      </c>
      <c r="C484" s="2" t="s">
        <v>3215</v>
      </c>
      <c r="D484" t="s">
        <v>6185</v>
      </c>
      <c r="E484" s="2">
        <v>5</v>
      </c>
      <c r="F484" t="str">
        <f>_xlfn.XLOOKUP(C484, customers!$A$2:$A$1001, customers!$B$2:$B$1001, , 0, 1)</f>
        <v>Stanly Keets</v>
      </c>
      <c r="G484" s="2" t="str">
        <f>IF(_xlfn.XLOOKUP(C484,customers!$A$2:$A$1001,customers!$C$2:$C$1001,,0,1)=0,"",_xlfn.XLOOKUP(C484,customers!$A$2:$A$1001,customers!$C$2:$C$1001,,0,1))</f>
        <v>skeetsde@answers.com</v>
      </c>
      <c r="H484" s="2" t="str">
        <f>_xlfn.XLOOKUP(C484, customers!$A$2:$A$1001, customers!$G$2:$G$1001, , 0, 1)</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t="str">
        <f>_xlfn.XLOOKUP(C485, customers!$A$2:$A$1001, customers!$B$2:$B$1001, , 0, 1)</f>
        <v>Orion Dyott</v>
      </c>
      <c r="G485" s="2" t="str">
        <f>IF(_xlfn.XLOOKUP(C485,customers!$A$2:$A$1001,customers!$C$2:$C$1001,,0,1)=0,"",_xlfn.XLOOKUP(C485,customers!$A$2:$A$1001,customers!$C$2:$C$1001,,0,1))</f>
        <v/>
      </c>
      <c r="H485" s="2" t="str">
        <f>_xlfn.XLOOKUP(C485, customers!$A$2:$A$1001, customers!$G$2:$G$1001, , 0, 1)</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t="str">
        <f>_xlfn.XLOOKUP(C486, customers!$A$2:$A$1001, customers!$B$2:$B$1001, , 0, 1)</f>
        <v>Keefer Cake</v>
      </c>
      <c r="G486" s="2" t="str">
        <f>IF(_xlfn.XLOOKUP(C486,customers!$A$2:$A$1001,customers!$C$2:$C$1001,,0,1)=0,"",_xlfn.XLOOKUP(C486,customers!$A$2:$A$1001,customers!$C$2:$C$1001,,0,1))</f>
        <v>kcakedg@huffingtonpost.com</v>
      </c>
      <c r="H486" s="2" t="str">
        <f>_xlfn.XLOOKUP(C486, customers!$A$2:$A$1001, customers!$G$2:$G$1001, , 0, 1)</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Large</v>
      </c>
      <c r="P486" t="str">
        <f>_xlfn.XLOOKUP(Orders[[#This Row],[Customer ID]],customers!$A$1:$A$1001,customers!$I$1:$I$1001,"",0)</f>
        <v>No</v>
      </c>
    </row>
    <row r="487" spans="1:16" x14ac:dyDescent="0.3">
      <c r="A487" s="2" t="s">
        <v>3230</v>
      </c>
      <c r="B487" s="3">
        <v>44413</v>
      </c>
      <c r="C487" s="2" t="s">
        <v>3231</v>
      </c>
      <c r="D487" t="s">
        <v>6178</v>
      </c>
      <c r="E487" s="2">
        <v>6</v>
      </c>
      <c r="F487" t="str">
        <f>_xlfn.XLOOKUP(C487, customers!$A$2:$A$1001, customers!$B$2:$B$1001, , 0, 1)</f>
        <v>Morna Hansed</v>
      </c>
      <c r="G487" s="2" t="str">
        <f>IF(_xlfn.XLOOKUP(C487,customers!$A$2:$A$1001,customers!$C$2:$C$1001,,0,1)=0,"",_xlfn.XLOOKUP(C487,customers!$A$2:$A$1001,customers!$C$2:$C$1001,,0,1))</f>
        <v>mhanseddh@instagram.com</v>
      </c>
      <c r="H487" s="2" t="str">
        <f>_xlfn.XLOOKUP(C487, customers!$A$2:$A$1001, customers!$G$2:$G$1001, , 0, 1)</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Large</v>
      </c>
      <c r="P487" t="str">
        <f>_xlfn.XLOOKUP(Orders[[#This Row],[Customer ID]],customers!$A$1:$A$1001,customers!$I$1:$I$1001,"",0)</f>
        <v>Yes</v>
      </c>
    </row>
    <row r="488" spans="1:16" x14ac:dyDescent="0.3">
      <c r="A488" s="2" t="s">
        <v>3236</v>
      </c>
      <c r="B488" s="3">
        <v>44043</v>
      </c>
      <c r="C488" s="2" t="s">
        <v>3237</v>
      </c>
      <c r="D488" t="s">
        <v>6160</v>
      </c>
      <c r="E488" s="2">
        <v>6</v>
      </c>
      <c r="F488" t="str">
        <f>_xlfn.XLOOKUP(C488, customers!$A$2:$A$1001, customers!$B$2:$B$1001, , 0, 1)</f>
        <v>Franny Kienlein</v>
      </c>
      <c r="G488" s="2" t="str">
        <f>IF(_xlfn.XLOOKUP(C488,customers!$A$2:$A$1001,customers!$C$2:$C$1001,,0,1)=0,"",_xlfn.XLOOKUP(C488,customers!$A$2:$A$1001,customers!$C$2:$C$1001,,0,1))</f>
        <v>fkienleindi@trellian.com</v>
      </c>
      <c r="H488" s="2" t="str">
        <f>_xlfn.XLOOKUP(C488, customers!$A$2:$A$1001, customers!$G$2:$G$1001, , 0, 1)</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t="str">
        <f>_xlfn.XLOOKUP(C489, customers!$A$2:$A$1001, customers!$B$2:$B$1001, , 0, 1)</f>
        <v>Klarika Egglestone</v>
      </c>
      <c r="G489" s="2" t="str">
        <f>IF(_xlfn.XLOOKUP(C489,customers!$A$2:$A$1001,customers!$C$2:$C$1001,,0,1)=0,"",_xlfn.XLOOKUP(C489,customers!$A$2:$A$1001,customers!$C$2:$C$1001,,0,1))</f>
        <v>kegglestonedj@sphinn.com</v>
      </c>
      <c r="H489" s="2" t="str">
        <f>_xlfn.XLOOKUP(C489, customers!$A$2:$A$1001, customers!$G$2:$G$1001, , 0, 1)</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t="str">
        <f>_xlfn.XLOOKUP(C490, customers!$A$2:$A$1001, customers!$B$2:$B$1001, , 0, 1)</f>
        <v>Becky Semkins</v>
      </c>
      <c r="G490" s="2" t="str">
        <f>IF(_xlfn.XLOOKUP(C490,customers!$A$2:$A$1001,customers!$C$2:$C$1001,,0,1)=0,"",_xlfn.XLOOKUP(C490,customers!$A$2:$A$1001,customers!$C$2:$C$1001,,0,1))</f>
        <v>bsemkinsdk@unc.edu</v>
      </c>
      <c r="H490" s="2" t="str">
        <f>_xlfn.XLOOKUP(C490, customers!$A$2:$A$1001, customers!$G$2:$G$1001, , 0, 1)</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t="str">
        <f>_xlfn.XLOOKUP(C491, customers!$A$2:$A$1001, customers!$B$2:$B$1001, , 0, 1)</f>
        <v>Sean Lorenzetti</v>
      </c>
      <c r="G491" s="2" t="str">
        <f>IF(_xlfn.XLOOKUP(C491,customers!$A$2:$A$1001,customers!$C$2:$C$1001,,0,1)=0,"",_xlfn.XLOOKUP(C491,customers!$A$2:$A$1001,customers!$C$2:$C$1001,,0,1))</f>
        <v>slorenzettidl@is.gd</v>
      </c>
      <c r="H491" s="2" t="str">
        <f>_xlfn.XLOOKUP(C491, customers!$A$2:$A$1001, customers!$G$2:$G$1001, , 0, 1)</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Large</v>
      </c>
      <c r="P491" t="str">
        <f>_xlfn.XLOOKUP(Orders[[#This Row],[Customer ID]],customers!$A$1:$A$1001,customers!$I$1:$I$1001,"",0)</f>
        <v>No</v>
      </c>
    </row>
    <row r="492" spans="1:16" x14ac:dyDescent="0.3">
      <c r="A492" s="2" t="s">
        <v>3260</v>
      </c>
      <c r="B492" s="3">
        <v>43764</v>
      </c>
      <c r="C492" s="2" t="s">
        <v>3261</v>
      </c>
      <c r="D492" t="s">
        <v>6169</v>
      </c>
      <c r="E492" s="2">
        <v>2</v>
      </c>
      <c r="F492" t="str">
        <f>_xlfn.XLOOKUP(C492, customers!$A$2:$A$1001, customers!$B$2:$B$1001, , 0, 1)</f>
        <v>Bob Giannazzi</v>
      </c>
      <c r="G492" s="2" t="str">
        <f>IF(_xlfn.XLOOKUP(C492,customers!$A$2:$A$1001,customers!$C$2:$C$1001,,0,1)=0,"",_xlfn.XLOOKUP(C492,customers!$A$2:$A$1001,customers!$C$2:$C$1001,,0,1))</f>
        <v>bgiannazzidm@apple.com</v>
      </c>
      <c r="H492" s="2" t="str">
        <f>_xlfn.XLOOKUP(C492, customers!$A$2:$A$1001, customers!$G$2:$G$1001, , 0, 1)</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t="str">
        <f>_xlfn.XLOOKUP(C493, customers!$A$2:$A$1001, customers!$B$2:$B$1001, , 0, 1)</f>
        <v>Kendra Backshell</v>
      </c>
      <c r="G493" s="2" t="str">
        <f>IF(_xlfn.XLOOKUP(C493,customers!$A$2:$A$1001,customers!$C$2:$C$1001,,0,1)=0,"",_xlfn.XLOOKUP(C493,customers!$A$2:$A$1001,customers!$C$2:$C$1001,,0,1))</f>
        <v/>
      </c>
      <c r="H493" s="2" t="str">
        <f>_xlfn.XLOOKUP(C493, customers!$A$2:$A$1001, customers!$G$2:$G$1001, , 0, 1)</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t="str">
        <f>_xlfn.XLOOKUP(C494, customers!$A$2:$A$1001, customers!$B$2:$B$1001, , 0, 1)</f>
        <v>Uriah Lethbrig</v>
      </c>
      <c r="G494" s="2" t="str">
        <f>IF(_xlfn.XLOOKUP(C494,customers!$A$2:$A$1001,customers!$C$2:$C$1001,,0,1)=0,"",_xlfn.XLOOKUP(C494,customers!$A$2:$A$1001,customers!$C$2:$C$1001,,0,1))</f>
        <v>ulethbrigdo@hc360.com</v>
      </c>
      <c r="H494" s="2" t="str">
        <f>_xlfn.XLOOKUP(C494, customers!$A$2:$A$1001, customers!$G$2:$G$1001, , 0, 1)</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t="str">
        <f>_xlfn.XLOOKUP(C495, customers!$A$2:$A$1001, customers!$B$2:$B$1001, , 0, 1)</f>
        <v>Sky Farnish</v>
      </c>
      <c r="G495" s="2" t="str">
        <f>IF(_xlfn.XLOOKUP(C495,customers!$A$2:$A$1001,customers!$C$2:$C$1001,,0,1)=0,"",_xlfn.XLOOKUP(C495,customers!$A$2:$A$1001,customers!$C$2:$C$1001,,0,1))</f>
        <v>sfarnishdp@dmoz.org</v>
      </c>
      <c r="H495" s="2" t="str">
        <f>_xlfn.XLOOKUP(C495, customers!$A$2:$A$1001, customers!$G$2:$G$1001, , 0, 1)</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t="str">
        <f>_xlfn.XLOOKUP(C496, customers!$A$2:$A$1001, customers!$B$2:$B$1001, , 0, 1)</f>
        <v>Felicia Jecock</v>
      </c>
      <c r="G496" s="2" t="str">
        <f>IF(_xlfn.XLOOKUP(C496,customers!$A$2:$A$1001,customers!$C$2:$C$1001,,0,1)=0,"",_xlfn.XLOOKUP(C496,customers!$A$2:$A$1001,customers!$C$2:$C$1001,,0,1))</f>
        <v>fjecockdq@unicef.org</v>
      </c>
      <c r="H496" s="2" t="str">
        <f>_xlfn.XLOOKUP(C496, customers!$A$2:$A$1001, customers!$G$2:$G$1001, , 0, 1)</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Large</v>
      </c>
      <c r="P496" t="str">
        <f>_xlfn.XLOOKUP(Orders[[#This Row],[Customer ID]],customers!$A$1:$A$1001,customers!$I$1:$I$1001,"",0)</f>
        <v>No</v>
      </c>
    </row>
    <row r="497" spans="1:16" x14ac:dyDescent="0.3">
      <c r="A497" s="2" t="s">
        <v>3289</v>
      </c>
      <c r="B497" s="3">
        <v>43710</v>
      </c>
      <c r="C497" s="2" t="s">
        <v>3290</v>
      </c>
      <c r="D497" t="s">
        <v>6170</v>
      </c>
      <c r="E497" s="2">
        <v>5</v>
      </c>
      <c r="F497" t="str">
        <f>_xlfn.XLOOKUP(C497, customers!$A$2:$A$1001, customers!$B$2:$B$1001, , 0, 1)</f>
        <v>Currey MacAllister</v>
      </c>
      <c r="G497" s="2" t="str">
        <f>IF(_xlfn.XLOOKUP(C497,customers!$A$2:$A$1001,customers!$C$2:$C$1001,,0,1)=0,"",_xlfn.XLOOKUP(C497,customers!$A$2:$A$1001,customers!$C$2:$C$1001,,0,1))</f>
        <v/>
      </c>
      <c r="H497" s="2" t="str">
        <f>_xlfn.XLOOKUP(C497, customers!$A$2:$A$1001, customers!$G$2:$G$1001, , 0, 1)</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Large</v>
      </c>
      <c r="P497" t="str">
        <f>_xlfn.XLOOKUP(Orders[[#This Row],[Customer ID]],customers!$A$1:$A$1001,customers!$I$1:$I$1001,"",0)</f>
        <v>Yes</v>
      </c>
    </row>
    <row r="498" spans="1:16" x14ac:dyDescent="0.3">
      <c r="A498" s="2" t="s">
        <v>3294</v>
      </c>
      <c r="B498" s="3">
        <v>44438</v>
      </c>
      <c r="C498" s="2" t="s">
        <v>3295</v>
      </c>
      <c r="D498" t="s">
        <v>6153</v>
      </c>
      <c r="E498" s="2">
        <v>3</v>
      </c>
      <c r="F498" t="str">
        <f>_xlfn.XLOOKUP(C498, customers!$A$2:$A$1001, customers!$B$2:$B$1001, , 0, 1)</f>
        <v>Hamlen Pallister</v>
      </c>
      <c r="G498" s="2" t="str">
        <f>IF(_xlfn.XLOOKUP(C498,customers!$A$2:$A$1001,customers!$C$2:$C$1001,,0,1)=0,"",_xlfn.XLOOKUP(C498,customers!$A$2:$A$1001,customers!$C$2:$C$1001,,0,1))</f>
        <v>hpallisterds@ning.com</v>
      </c>
      <c r="H498" s="2" t="str">
        <f>_xlfn.XLOOKUP(C498, customers!$A$2:$A$1001, customers!$G$2:$G$1001, , 0, 1)</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t="str">
        <f>_xlfn.XLOOKUP(C499, customers!$A$2:$A$1001, customers!$B$2:$B$1001, , 0, 1)</f>
        <v>Chantal Mersh</v>
      </c>
      <c r="G499" s="2" t="str">
        <f>IF(_xlfn.XLOOKUP(C499,customers!$A$2:$A$1001,customers!$C$2:$C$1001,,0,1)=0,"",_xlfn.XLOOKUP(C499,customers!$A$2:$A$1001,customers!$C$2:$C$1001,,0,1))</f>
        <v>cmershdt@drupal.org</v>
      </c>
      <c r="H499" s="2" t="str">
        <f>_xlfn.XLOOKUP(C499, customers!$A$2:$A$1001, customers!$G$2:$G$1001, , 0, 1)</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t="str">
        <f>_xlfn.XLOOKUP(C500, customers!$A$2:$A$1001, customers!$B$2:$B$1001, , 0, 1)</f>
        <v>Marja Urion</v>
      </c>
      <c r="G500" s="2" t="str">
        <f>IF(_xlfn.XLOOKUP(C500,customers!$A$2:$A$1001,customers!$C$2:$C$1001,,0,1)=0,"",_xlfn.XLOOKUP(C500,customers!$A$2:$A$1001,customers!$C$2:$C$1001,,0,1))</f>
        <v>murione5@alexa.com</v>
      </c>
      <c r="H500" s="2" t="str">
        <f>_xlfn.XLOOKUP(C500, customers!$A$2:$A$1001, customers!$G$2:$G$1001, , 0, 1)</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t="str">
        <f>_xlfn.XLOOKUP(C501, customers!$A$2:$A$1001, customers!$B$2:$B$1001, , 0, 1)</f>
        <v>Malynda Purbrick</v>
      </c>
      <c r="G501" s="2" t="str">
        <f>IF(_xlfn.XLOOKUP(C501,customers!$A$2:$A$1001,customers!$C$2:$C$1001,,0,1)=0,"",_xlfn.XLOOKUP(C501,customers!$A$2:$A$1001,customers!$C$2:$C$1001,,0,1))</f>
        <v/>
      </c>
      <c r="H501" s="2" t="str">
        <f>_xlfn.XLOOKUP(C501, customers!$A$2:$A$1001, customers!$G$2:$G$1001, , 0, 1)</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t="str">
        <f>_xlfn.XLOOKUP(C502, customers!$A$2:$A$1001, customers!$B$2:$B$1001, , 0, 1)</f>
        <v>Alf Housaman</v>
      </c>
      <c r="G502" s="2" t="str">
        <f>IF(_xlfn.XLOOKUP(C502,customers!$A$2:$A$1001,customers!$C$2:$C$1001,,0,1)=0,"",_xlfn.XLOOKUP(C502,customers!$A$2:$A$1001,customers!$C$2:$C$1001,,0,1))</f>
        <v/>
      </c>
      <c r="H502" s="2" t="str">
        <f>_xlfn.XLOOKUP(C502, customers!$A$2:$A$1001, customers!$G$2:$G$1001, , 0, 1)</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Large</v>
      </c>
      <c r="P502" t="str">
        <f>_xlfn.XLOOKUP(Orders[[#This Row],[Customer ID]],customers!$A$1:$A$1001,customers!$I$1:$I$1001,"",0)</f>
        <v>No</v>
      </c>
    </row>
    <row r="503" spans="1:16" x14ac:dyDescent="0.3">
      <c r="A503" s="2" t="s">
        <v>3323</v>
      </c>
      <c r="B503" s="3">
        <v>43467</v>
      </c>
      <c r="C503" s="2" t="s">
        <v>3324</v>
      </c>
      <c r="D503" t="s">
        <v>6174</v>
      </c>
      <c r="E503" s="2">
        <v>4</v>
      </c>
      <c r="F503" t="str">
        <f>_xlfn.XLOOKUP(C503, customers!$A$2:$A$1001, customers!$B$2:$B$1001, , 0, 1)</f>
        <v>Gladi Ducker</v>
      </c>
      <c r="G503" s="2" t="str">
        <f>IF(_xlfn.XLOOKUP(C503,customers!$A$2:$A$1001,customers!$C$2:$C$1001,,0,1)=0,"",_xlfn.XLOOKUP(C503,customers!$A$2:$A$1001,customers!$C$2:$C$1001,,0,1))</f>
        <v>gduckerdx@patch.com</v>
      </c>
      <c r="H503" s="2" t="str">
        <f>_xlfn.XLOOKUP(C503, customers!$A$2:$A$1001, customers!$G$2:$G$1001, , 0, 1)</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t="str">
        <f>_xlfn.XLOOKUP(C504, customers!$A$2:$A$1001, customers!$B$2:$B$1001, , 0, 1)</f>
        <v>Gladi Ducker</v>
      </c>
      <c r="G504" s="2" t="str">
        <f>IF(_xlfn.XLOOKUP(C504,customers!$A$2:$A$1001,customers!$C$2:$C$1001,,0,1)=0,"",_xlfn.XLOOKUP(C504,customers!$A$2:$A$1001,customers!$C$2:$C$1001,,0,1))</f>
        <v>gduckerdx@patch.com</v>
      </c>
      <c r="H504" s="2" t="str">
        <f>_xlfn.XLOOKUP(C504, customers!$A$2:$A$1001, customers!$G$2:$G$1001, , 0, 1)</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t="str">
        <f>_xlfn.XLOOKUP(C505, customers!$A$2:$A$1001, customers!$B$2:$B$1001, , 0, 1)</f>
        <v>Gladi Ducker</v>
      </c>
      <c r="G505" s="2" t="str">
        <f>IF(_xlfn.XLOOKUP(C505,customers!$A$2:$A$1001,customers!$C$2:$C$1001,,0,1)=0,"",_xlfn.XLOOKUP(C505,customers!$A$2:$A$1001,customers!$C$2:$C$1001,,0,1))</f>
        <v>gduckerdx@patch.com</v>
      </c>
      <c r="H505" s="2" t="str">
        <f>_xlfn.XLOOKUP(C505, customers!$A$2:$A$1001, customers!$G$2:$G$1001, , 0, 1)</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t="str">
        <f>_xlfn.XLOOKUP(C506, customers!$A$2:$A$1001, customers!$B$2:$B$1001, , 0, 1)</f>
        <v>Gladi Ducker</v>
      </c>
      <c r="G506" s="2" t="str">
        <f>IF(_xlfn.XLOOKUP(C506,customers!$A$2:$A$1001,customers!$C$2:$C$1001,,0,1)=0,"",_xlfn.XLOOKUP(C506,customers!$A$2:$A$1001,customers!$C$2:$C$1001,,0,1))</f>
        <v>gduckerdx@patch.com</v>
      </c>
      <c r="H506" s="2" t="str">
        <f>_xlfn.XLOOKUP(C506, customers!$A$2:$A$1001, customers!$G$2:$G$1001, , 0, 1)</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Large</v>
      </c>
      <c r="P506" t="str">
        <f>_xlfn.XLOOKUP(Orders[[#This Row],[Customer ID]],customers!$A$1:$A$1001,customers!$I$1:$I$1001,"",0)</f>
        <v>No</v>
      </c>
    </row>
    <row r="507" spans="1:16" x14ac:dyDescent="0.3">
      <c r="A507" s="2" t="s">
        <v>3343</v>
      </c>
      <c r="B507" s="3">
        <v>44609</v>
      </c>
      <c r="C507" s="2" t="s">
        <v>3344</v>
      </c>
      <c r="D507" t="s">
        <v>6159</v>
      </c>
      <c r="E507" s="2">
        <v>6</v>
      </c>
      <c r="F507" t="str">
        <f>_xlfn.XLOOKUP(C507, customers!$A$2:$A$1001, customers!$B$2:$B$1001, , 0, 1)</f>
        <v>Wain Stearley</v>
      </c>
      <c r="G507" s="2" t="str">
        <f>IF(_xlfn.XLOOKUP(C507,customers!$A$2:$A$1001,customers!$C$2:$C$1001,,0,1)=0,"",_xlfn.XLOOKUP(C507,customers!$A$2:$A$1001,customers!$C$2:$C$1001,,0,1))</f>
        <v>wstearleye1@census.gov</v>
      </c>
      <c r="H507" s="2" t="str">
        <f>_xlfn.XLOOKUP(C507, customers!$A$2:$A$1001, customers!$G$2:$G$1001, , 0, 1)</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t="str">
        <f>_xlfn.XLOOKUP(C508, customers!$A$2:$A$1001, customers!$B$2:$B$1001, , 0, 1)</f>
        <v>Diane-marie Wincer</v>
      </c>
      <c r="G508" s="2" t="str">
        <f>IF(_xlfn.XLOOKUP(C508,customers!$A$2:$A$1001,customers!$C$2:$C$1001,,0,1)=0,"",_xlfn.XLOOKUP(C508,customers!$A$2:$A$1001,customers!$C$2:$C$1001,,0,1))</f>
        <v>dwincere2@marriott.com</v>
      </c>
      <c r="H508" s="2" t="str">
        <f>_xlfn.XLOOKUP(C508, customers!$A$2:$A$1001, customers!$G$2:$G$1001, , 0, 1)</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Large</v>
      </c>
      <c r="P508" t="str">
        <f>_xlfn.XLOOKUP(Orders[[#This Row],[Customer ID]],customers!$A$1:$A$1001,customers!$I$1:$I$1001,"",0)</f>
        <v>Yes</v>
      </c>
    </row>
    <row r="509" spans="1:16" x14ac:dyDescent="0.3">
      <c r="A509" s="2" t="s">
        <v>3355</v>
      </c>
      <c r="B509" s="3">
        <v>43516</v>
      </c>
      <c r="C509" s="2" t="s">
        <v>3356</v>
      </c>
      <c r="D509" t="s">
        <v>6182</v>
      </c>
      <c r="E509" s="2">
        <v>3</v>
      </c>
      <c r="F509" t="str">
        <f>_xlfn.XLOOKUP(C509, customers!$A$2:$A$1001, customers!$B$2:$B$1001, , 0, 1)</f>
        <v>Perry Lyfield</v>
      </c>
      <c r="G509" s="2" t="str">
        <f>IF(_xlfn.XLOOKUP(C509,customers!$A$2:$A$1001,customers!$C$2:$C$1001,,0,1)=0,"",_xlfn.XLOOKUP(C509,customers!$A$2:$A$1001,customers!$C$2:$C$1001,,0,1))</f>
        <v>plyfielde3@baidu.com</v>
      </c>
      <c r="H509" s="2" t="str">
        <f>_xlfn.XLOOKUP(C509, customers!$A$2:$A$1001, customers!$G$2:$G$1001, , 0, 1)</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Large</v>
      </c>
      <c r="P509" t="str">
        <f>_xlfn.XLOOKUP(Orders[[#This Row],[Customer ID]],customers!$A$1:$A$1001,customers!$I$1:$I$1001,"",0)</f>
        <v>Yes</v>
      </c>
    </row>
    <row r="510" spans="1:16" x14ac:dyDescent="0.3">
      <c r="A510" s="2" t="s">
        <v>3361</v>
      </c>
      <c r="B510" s="3">
        <v>44210</v>
      </c>
      <c r="C510" s="2" t="s">
        <v>3362</v>
      </c>
      <c r="D510" t="s">
        <v>6169</v>
      </c>
      <c r="E510" s="2">
        <v>6</v>
      </c>
      <c r="F510" t="str">
        <f>_xlfn.XLOOKUP(C510, customers!$A$2:$A$1001, customers!$B$2:$B$1001, , 0, 1)</f>
        <v>Heall Perris</v>
      </c>
      <c r="G510" s="2" t="str">
        <f>IF(_xlfn.XLOOKUP(C510,customers!$A$2:$A$1001,customers!$C$2:$C$1001,,0,1)=0,"",_xlfn.XLOOKUP(C510,customers!$A$2:$A$1001,customers!$C$2:$C$1001,,0,1))</f>
        <v>hperrise4@studiopress.com</v>
      </c>
      <c r="H510" s="2" t="str">
        <f>_xlfn.XLOOKUP(C510, customers!$A$2:$A$1001, customers!$G$2:$G$1001, , 0, 1)</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t="str">
        <f>_xlfn.XLOOKUP(C511, customers!$A$2:$A$1001, customers!$B$2:$B$1001, , 0, 1)</f>
        <v>Marja Urion</v>
      </c>
      <c r="G511" s="2" t="str">
        <f>IF(_xlfn.XLOOKUP(C511,customers!$A$2:$A$1001,customers!$C$2:$C$1001,,0,1)=0,"",_xlfn.XLOOKUP(C511,customers!$A$2:$A$1001,customers!$C$2:$C$1001,,0,1))</f>
        <v>murione5@alexa.com</v>
      </c>
      <c r="H511" s="2" t="str">
        <f>_xlfn.XLOOKUP(C511, customers!$A$2:$A$1001, customers!$G$2:$G$1001, , 0, 1)</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t="str">
        <f>_xlfn.XLOOKUP(C512, customers!$A$2:$A$1001, customers!$B$2:$B$1001, , 0, 1)</f>
        <v>Camellia Kid</v>
      </c>
      <c r="G512" s="2" t="str">
        <f>IF(_xlfn.XLOOKUP(C512,customers!$A$2:$A$1001,customers!$C$2:$C$1001,,0,1)=0,"",_xlfn.XLOOKUP(C512,customers!$A$2:$A$1001,customers!$C$2:$C$1001,,0,1))</f>
        <v>ckide6@narod.ru</v>
      </c>
      <c r="H512" s="2" t="str">
        <f>_xlfn.XLOOKUP(C512, customers!$A$2:$A$1001, customers!$G$2:$G$1001, , 0, 1)</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Large</v>
      </c>
      <c r="P512" t="str">
        <f>_xlfn.XLOOKUP(Orders[[#This Row],[Customer ID]],customers!$A$1:$A$1001,customers!$I$1:$I$1001,"",0)</f>
        <v>Yes</v>
      </c>
    </row>
    <row r="513" spans="1:16" x14ac:dyDescent="0.3">
      <c r="A513" s="2" t="s">
        <v>3379</v>
      </c>
      <c r="B513" s="3">
        <v>44043</v>
      </c>
      <c r="C513" s="2" t="s">
        <v>3380</v>
      </c>
      <c r="D513" t="s">
        <v>6152</v>
      </c>
      <c r="E513" s="2">
        <v>4</v>
      </c>
      <c r="F513" t="str">
        <f>_xlfn.XLOOKUP(C513, customers!$A$2:$A$1001, customers!$B$2:$B$1001, , 0, 1)</f>
        <v>Carolann Beine</v>
      </c>
      <c r="G513" s="2" t="str">
        <f>IF(_xlfn.XLOOKUP(C513,customers!$A$2:$A$1001,customers!$C$2:$C$1001,,0,1)=0,"",_xlfn.XLOOKUP(C513,customers!$A$2:$A$1001,customers!$C$2:$C$1001,,0,1))</f>
        <v>cbeinee7@xinhuanet.com</v>
      </c>
      <c r="H513" s="2" t="str">
        <f>_xlfn.XLOOKUP(C513, customers!$A$2:$A$1001, customers!$G$2:$G$1001, , 0, 1)</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t="str">
        <f>_xlfn.XLOOKUP(C514, customers!$A$2:$A$1001, customers!$B$2:$B$1001, , 0, 1)</f>
        <v>Celia Bakeup</v>
      </c>
      <c r="G514" s="2" t="str">
        <f>IF(_xlfn.XLOOKUP(C514,customers!$A$2:$A$1001,customers!$C$2:$C$1001,,0,1)=0,"",_xlfn.XLOOKUP(C514,customers!$A$2:$A$1001,customers!$C$2:$C$1001,,0,1))</f>
        <v>cbakeupe8@globo.com</v>
      </c>
      <c r="H514" s="2" t="str">
        <f>_xlfn.XLOOKUP(C514, customers!$A$2:$A$1001, customers!$G$2:$G$1001, , 0, 1)</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Large</v>
      </c>
      <c r="P514" t="str">
        <f>_xlfn.XLOOKUP(Orders[[#This Row],[Customer ID]],customers!$A$1:$A$1001,customers!$I$1:$I$1001,"",0)</f>
        <v>No</v>
      </c>
    </row>
    <row r="515" spans="1:16" x14ac:dyDescent="0.3">
      <c r="A515" s="2" t="s">
        <v>3391</v>
      </c>
      <c r="B515" s="3">
        <v>44691</v>
      </c>
      <c r="C515" s="2" t="s">
        <v>3392</v>
      </c>
      <c r="D515" t="s">
        <v>6170</v>
      </c>
      <c r="E515" s="2">
        <v>5</v>
      </c>
      <c r="F515" t="str">
        <f>_xlfn.XLOOKUP(C515, customers!$A$2:$A$1001, customers!$B$2:$B$1001, , 0, 1)</f>
        <v>Nataniel Helkin</v>
      </c>
      <c r="G515" s="2" t="str">
        <f>IF(_xlfn.XLOOKUP(C515,customers!$A$2:$A$1001,customers!$C$2:$C$1001,,0,1)=0,"",_xlfn.XLOOKUP(C515,customers!$A$2:$A$1001,customers!$C$2:$C$1001,,0,1))</f>
        <v>nhelkine9@example.com</v>
      </c>
      <c r="H515" s="2" t="str">
        <f>_xlfn.XLOOKUP(C515, customers!$A$2:$A$1001, customers!$G$2:$G$1001, , 0, 1)</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IF(J515="M","Medium",IF(J515="L","Large",IF(J515="D","Dark","")))</f>
        <v>Large</v>
      </c>
      <c r="P515" t="str">
        <f>_xlfn.XLOOKUP(Orders[[#This Row],[Customer ID]],customers!$A$1:$A$1001,customers!$I$1:$I$1001,"",0)</f>
        <v>No</v>
      </c>
    </row>
    <row r="516" spans="1:16" x14ac:dyDescent="0.3">
      <c r="A516" s="2" t="s">
        <v>3396</v>
      </c>
      <c r="B516" s="3">
        <v>44555</v>
      </c>
      <c r="C516" s="2" t="s">
        <v>3397</v>
      </c>
      <c r="D516" t="s">
        <v>6159</v>
      </c>
      <c r="E516" s="2">
        <v>6</v>
      </c>
      <c r="F516" t="str">
        <f>_xlfn.XLOOKUP(C516, customers!$A$2:$A$1001, customers!$B$2:$B$1001, , 0, 1)</f>
        <v>Pippo Witherington</v>
      </c>
      <c r="G516" s="2" t="str">
        <f>IF(_xlfn.XLOOKUP(C516,customers!$A$2:$A$1001,customers!$C$2:$C$1001,,0,1)=0,"",_xlfn.XLOOKUP(C516,customers!$A$2:$A$1001,customers!$C$2:$C$1001,,0,1))</f>
        <v>pwitheringtonea@networkadvertising.org</v>
      </c>
      <c r="H516" s="2" t="str">
        <f>_xlfn.XLOOKUP(C516, customers!$A$2:$A$1001, customers!$G$2:$G$1001, , 0, 1)</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t="str">
        <f>_xlfn.XLOOKUP(C517, customers!$A$2:$A$1001, customers!$B$2:$B$1001, , 0, 1)</f>
        <v>Tildie Tilzey</v>
      </c>
      <c r="G517" s="2" t="str">
        <f>IF(_xlfn.XLOOKUP(C517,customers!$A$2:$A$1001,customers!$C$2:$C$1001,,0,1)=0,"",_xlfn.XLOOKUP(C517,customers!$A$2:$A$1001,customers!$C$2:$C$1001,,0,1))</f>
        <v>ttilzeyeb@hostgator.com</v>
      </c>
      <c r="H517" s="2" t="str">
        <f>_xlfn.XLOOKUP(C517, customers!$A$2:$A$1001, customers!$G$2:$G$1001, , 0, 1)</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Large</v>
      </c>
      <c r="P517" t="str">
        <f>_xlfn.XLOOKUP(Orders[[#This Row],[Customer ID]],customers!$A$1:$A$1001,customers!$I$1:$I$1001,"",0)</f>
        <v>No</v>
      </c>
    </row>
    <row r="518" spans="1:16" x14ac:dyDescent="0.3">
      <c r="A518" s="2" t="s">
        <v>3408</v>
      </c>
      <c r="B518" s="3">
        <v>44723</v>
      </c>
      <c r="C518" s="2" t="s">
        <v>3409</v>
      </c>
      <c r="D518" t="s">
        <v>6149</v>
      </c>
      <c r="E518" s="2">
        <v>5</v>
      </c>
      <c r="F518" t="str">
        <f>_xlfn.XLOOKUP(C518, customers!$A$2:$A$1001, customers!$B$2:$B$1001, , 0, 1)</f>
        <v>Cindra Burling</v>
      </c>
      <c r="G518" s="2" t="str">
        <f>IF(_xlfn.XLOOKUP(C518,customers!$A$2:$A$1001,customers!$C$2:$C$1001,,0,1)=0,"",_xlfn.XLOOKUP(C518,customers!$A$2:$A$1001,customers!$C$2:$C$1001,,0,1))</f>
        <v/>
      </c>
      <c r="H518" s="2" t="str">
        <f>_xlfn.XLOOKUP(C518, customers!$A$2:$A$1001, customers!$G$2:$G$1001, , 0, 1)</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t="str">
        <f>_xlfn.XLOOKUP(C519, customers!$A$2:$A$1001, customers!$B$2:$B$1001, , 0, 1)</f>
        <v>Channa Belamy</v>
      </c>
      <c r="G519" s="2" t="str">
        <f>IF(_xlfn.XLOOKUP(C519,customers!$A$2:$A$1001,customers!$C$2:$C$1001,,0,1)=0,"",_xlfn.XLOOKUP(C519,customers!$A$2:$A$1001,customers!$C$2:$C$1001,,0,1))</f>
        <v/>
      </c>
      <c r="H519" s="2" t="str">
        <f>_xlfn.XLOOKUP(C519, customers!$A$2:$A$1001, customers!$G$2:$G$1001, , 0, 1)</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t="str">
        <f>_xlfn.XLOOKUP(C520, customers!$A$2:$A$1001, customers!$B$2:$B$1001, , 0, 1)</f>
        <v>Karl Imorts</v>
      </c>
      <c r="G520" s="2" t="str">
        <f>IF(_xlfn.XLOOKUP(C520,customers!$A$2:$A$1001,customers!$C$2:$C$1001,,0,1)=0,"",_xlfn.XLOOKUP(C520,customers!$A$2:$A$1001,customers!$C$2:$C$1001,,0,1))</f>
        <v>kimortsee@alexa.com</v>
      </c>
      <c r="H520" s="2" t="str">
        <f>_xlfn.XLOOKUP(C520, customers!$A$2:$A$1001, customers!$G$2:$G$1001, , 0, 1)</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t="str">
        <f>_xlfn.XLOOKUP(C521, customers!$A$2:$A$1001, customers!$B$2:$B$1001, , 0, 1)</f>
        <v>Marja Urion</v>
      </c>
      <c r="G521" s="2" t="str">
        <f>IF(_xlfn.XLOOKUP(C521,customers!$A$2:$A$1001,customers!$C$2:$C$1001,,0,1)=0,"",_xlfn.XLOOKUP(C521,customers!$A$2:$A$1001,customers!$C$2:$C$1001,,0,1))</f>
        <v>murione5@alexa.com</v>
      </c>
      <c r="H521" s="2" t="str">
        <f>_xlfn.XLOOKUP(C521, customers!$A$2:$A$1001, customers!$G$2:$G$1001, , 0, 1)</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t="str">
        <f>_xlfn.XLOOKUP(C522, customers!$A$2:$A$1001, customers!$B$2:$B$1001, , 0, 1)</f>
        <v>Mag Armistead</v>
      </c>
      <c r="G522" s="2" t="str">
        <f>IF(_xlfn.XLOOKUP(C522,customers!$A$2:$A$1001,customers!$C$2:$C$1001,,0,1)=0,"",_xlfn.XLOOKUP(C522,customers!$A$2:$A$1001,customers!$C$2:$C$1001,,0,1))</f>
        <v>marmisteadeg@blogtalkradio.com</v>
      </c>
      <c r="H522" s="2" t="str">
        <f>_xlfn.XLOOKUP(C522, customers!$A$2:$A$1001, customers!$G$2:$G$1001, , 0, 1)</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t="str">
        <f>_xlfn.XLOOKUP(C523, customers!$A$2:$A$1001, customers!$B$2:$B$1001, , 0, 1)</f>
        <v>Mag Armistead</v>
      </c>
      <c r="G523" s="2" t="str">
        <f>IF(_xlfn.XLOOKUP(C523,customers!$A$2:$A$1001,customers!$C$2:$C$1001,,0,1)=0,"",_xlfn.XLOOKUP(C523,customers!$A$2:$A$1001,customers!$C$2:$C$1001,,0,1))</f>
        <v>marmisteadeg@blogtalkradio.com</v>
      </c>
      <c r="H523" s="2" t="str">
        <f>_xlfn.XLOOKUP(C523, customers!$A$2:$A$1001, customers!$G$2:$G$1001, , 0, 1)</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t="str">
        <f>_xlfn.XLOOKUP(C524, customers!$A$2:$A$1001, customers!$B$2:$B$1001, , 0, 1)</f>
        <v>Vasili Upstone</v>
      </c>
      <c r="G524" s="2" t="str">
        <f>IF(_xlfn.XLOOKUP(C524,customers!$A$2:$A$1001,customers!$C$2:$C$1001,,0,1)=0,"",_xlfn.XLOOKUP(C524,customers!$A$2:$A$1001,customers!$C$2:$C$1001,,0,1))</f>
        <v>vupstoneei@google.pl</v>
      </c>
      <c r="H524" s="2" t="str">
        <f>_xlfn.XLOOKUP(C524, customers!$A$2:$A$1001, customers!$G$2:$G$1001, , 0, 1)</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t="str">
        <f>_xlfn.XLOOKUP(C525, customers!$A$2:$A$1001, customers!$B$2:$B$1001, , 0, 1)</f>
        <v>Berty Beelby</v>
      </c>
      <c r="G525" s="2" t="str">
        <f>IF(_xlfn.XLOOKUP(C525,customers!$A$2:$A$1001,customers!$C$2:$C$1001,,0,1)=0,"",_xlfn.XLOOKUP(C525,customers!$A$2:$A$1001,customers!$C$2:$C$1001,,0,1))</f>
        <v>bbeelbyej@rediff.com</v>
      </c>
      <c r="H525" s="2" t="str">
        <f>_xlfn.XLOOKUP(C525, customers!$A$2:$A$1001, customers!$G$2:$G$1001, , 0, 1)</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t="str">
        <f>_xlfn.XLOOKUP(C526, customers!$A$2:$A$1001, customers!$B$2:$B$1001, , 0, 1)</f>
        <v>Erny Stenyng</v>
      </c>
      <c r="G526" s="2" t="str">
        <f>IF(_xlfn.XLOOKUP(C526,customers!$A$2:$A$1001,customers!$C$2:$C$1001,,0,1)=0,"",_xlfn.XLOOKUP(C526,customers!$A$2:$A$1001,customers!$C$2:$C$1001,,0,1))</f>
        <v/>
      </c>
      <c r="H526" s="2" t="str">
        <f>_xlfn.XLOOKUP(C526, customers!$A$2:$A$1001, customers!$G$2:$G$1001, , 0, 1)</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Large</v>
      </c>
      <c r="P526" t="str">
        <f>_xlfn.XLOOKUP(Orders[[#This Row],[Customer ID]],customers!$A$1:$A$1001,customers!$I$1:$I$1001,"",0)</f>
        <v>No</v>
      </c>
    </row>
    <row r="527" spans="1:16" x14ac:dyDescent="0.3">
      <c r="A527" s="2" t="s">
        <v>3458</v>
      </c>
      <c r="B527" s="3">
        <v>44038</v>
      </c>
      <c r="C527" s="2" t="s">
        <v>3459</v>
      </c>
      <c r="D527" t="s">
        <v>6163</v>
      </c>
      <c r="E527" s="2">
        <v>5</v>
      </c>
      <c r="F527" t="str">
        <f>_xlfn.XLOOKUP(C527, customers!$A$2:$A$1001, customers!$B$2:$B$1001, , 0, 1)</f>
        <v>Edin Yantsurev</v>
      </c>
      <c r="G527" s="2" t="str">
        <f>IF(_xlfn.XLOOKUP(C527,customers!$A$2:$A$1001,customers!$C$2:$C$1001,,0,1)=0,"",_xlfn.XLOOKUP(C527,customers!$A$2:$A$1001,customers!$C$2:$C$1001,,0,1))</f>
        <v/>
      </c>
      <c r="H527" s="2" t="str">
        <f>_xlfn.XLOOKUP(C527, customers!$A$2:$A$1001, customers!$G$2:$G$1001, , 0, 1)</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t="str">
        <f>_xlfn.XLOOKUP(C528, customers!$A$2:$A$1001, customers!$B$2:$B$1001, , 0, 1)</f>
        <v>Webb Speechly</v>
      </c>
      <c r="G528" s="2" t="str">
        <f>IF(_xlfn.XLOOKUP(C528,customers!$A$2:$A$1001,customers!$C$2:$C$1001,,0,1)=0,"",_xlfn.XLOOKUP(C528,customers!$A$2:$A$1001,customers!$C$2:$C$1001,,0,1))</f>
        <v>wspeechlyem@amazon.com</v>
      </c>
      <c r="H528" s="2" t="str">
        <f>_xlfn.XLOOKUP(C528, customers!$A$2:$A$1001, customers!$G$2:$G$1001, , 0, 1)</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t="str">
        <f>_xlfn.XLOOKUP(C529, customers!$A$2:$A$1001, customers!$B$2:$B$1001, , 0, 1)</f>
        <v>Irvine Phillpot</v>
      </c>
      <c r="G529" s="2" t="str">
        <f>IF(_xlfn.XLOOKUP(C529,customers!$A$2:$A$1001,customers!$C$2:$C$1001,,0,1)=0,"",_xlfn.XLOOKUP(C529,customers!$A$2:$A$1001,customers!$C$2:$C$1001,,0,1))</f>
        <v>iphillpoten@buzzfeed.com</v>
      </c>
      <c r="H529" s="2" t="str">
        <f>_xlfn.XLOOKUP(C529, customers!$A$2:$A$1001, customers!$G$2:$G$1001, , 0, 1)</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t="str">
        <f>_xlfn.XLOOKUP(C530, customers!$A$2:$A$1001, customers!$B$2:$B$1001, , 0, 1)</f>
        <v>Lem Pennacci</v>
      </c>
      <c r="G530" s="2" t="str">
        <f>IF(_xlfn.XLOOKUP(C530,customers!$A$2:$A$1001,customers!$C$2:$C$1001,,0,1)=0,"",_xlfn.XLOOKUP(C530,customers!$A$2:$A$1001,customers!$C$2:$C$1001,,0,1))</f>
        <v>lpennaccieo@statcounter.com</v>
      </c>
      <c r="H530" s="2" t="str">
        <f>_xlfn.XLOOKUP(C530, customers!$A$2:$A$1001, customers!$G$2:$G$1001, , 0, 1)</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Large</v>
      </c>
      <c r="P530" t="str">
        <f>_xlfn.XLOOKUP(Orders[[#This Row],[Customer ID]],customers!$A$1:$A$1001,customers!$I$1:$I$1001,"",0)</f>
        <v>No</v>
      </c>
    </row>
    <row r="531" spans="1:16" x14ac:dyDescent="0.3">
      <c r="A531" s="2" t="s">
        <v>3481</v>
      </c>
      <c r="B531" s="3">
        <v>43475</v>
      </c>
      <c r="C531" s="2" t="s">
        <v>3482</v>
      </c>
      <c r="D531" t="s">
        <v>6138</v>
      </c>
      <c r="E531" s="2">
        <v>6</v>
      </c>
      <c r="F531" t="str">
        <f>_xlfn.XLOOKUP(C531, customers!$A$2:$A$1001, customers!$B$2:$B$1001, , 0, 1)</f>
        <v>Starr Arpin</v>
      </c>
      <c r="G531" s="2" t="str">
        <f>IF(_xlfn.XLOOKUP(C531,customers!$A$2:$A$1001,customers!$C$2:$C$1001,,0,1)=0,"",_xlfn.XLOOKUP(C531,customers!$A$2:$A$1001,customers!$C$2:$C$1001,,0,1))</f>
        <v>sarpinep@moonfruit.com</v>
      </c>
      <c r="H531" s="2" t="str">
        <f>_xlfn.XLOOKUP(C531, customers!$A$2:$A$1001, customers!$G$2:$G$1001, , 0, 1)</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t="str">
        <f>_xlfn.XLOOKUP(C532, customers!$A$2:$A$1001, customers!$B$2:$B$1001, , 0, 1)</f>
        <v>Donny Fries</v>
      </c>
      <c r="G532" s="2" t="str">
        <f>IF(_xlfn.XLOOKUP(C532,customers!$A$2:$A$1001,customers!$C$2:$C$1001,,0,1)=0,"",_xlfn.XLOOKUP(C532,customers!$A$2:$A$1001,customers!$C$2:$C$1001,,0,1))</f>
        <v>dfrieseq@cargocollective.com</v>
      </c>
      <c r="H532" s="2" t="str">
        <f>_xlfn.XLOOKUP(C532, customers!$A$2:$A$1001, customers!$G$2:$G$1001, , 0, 1)</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t="str">
        <f>_xlfn.XLOOKUP(C533, customers!$A$2:$A$1001, customers!$B$2:$B$1001, , 0, 1)</f>
        <v>Rana Sharer</v>
      </c>
      <c r="G533" s="2" t="str">
        <f>IF(_xlfn.XLOOKUP(C533,customers!$A$2:$A$1001,customers!$C$2:$C$1001,,0,1)=0,"",_xlfn.XLOOKUP(C533,customers!$A$2:$A$1001,customers!$C$2:$C$1001,,0,1))</f>
        <v>rsharerer@flavors.me</v>
      </c>
      <c r="H533" s="2" t="str">
        <f>_xlfn.XLOOKUP(C533, customers!$A$2:$A$1001, customers!$G$2:$G$1001, , 0, 1)</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t="str">
        <f>_xlfn.XLOOKUP(C534, customers!$A$2:$A$1001, customers!$B$2:$B$1001, , 0, 1)</f>
        <v>Nannie Naseby</v>
      </c>
      <c r="G534" s="2" t="str">
        <f>IF(_xlfn.XLOOKUP(C534,customers!$A$2:$A$1001,customers!$C$2:$C$1001,,0,1)=0,"",_xlfn.XLOOKUP(C534,customers!$A$2:$A$1001,customers!$C$2:$C$1001,,0,1))</f>
        <v>nnasebyes@umich.edu</v>
      </c>
      <c r="H534" s="2" t="str">
        <f>_xlfn.XLOOKUP(C534, customers!$A$2:$A$1001, customers!$G$2:$G$1001, , 0, 1)</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t="str">
        <f>_xlfn.XLOOKUP(C535, customers!$A$2:$A$1001, customers!$B$2:$B$1001, , 0, 1)</f>
        <v>Rea Offell</v>
      </c>
      <c r="G535" s="2" t="str">
        <f>IF(_xlfn.XLOOKUP(C535,customers!$A$2:$A$1001,customers!$C$2:$C$1001,,0,1)=0,"",_xlfn.XLOOKUP(C535,customers!$A$2:$A$1001,customers!$C$2:$C$1001,,0,1))</f>
        <v/>
      </c>
      <c r="H535" s="2" t="str">
        <f>_xlfn.XLOOKUP(C535, customers!$A$2:$A$1001, customers!$G$2:$G$1001, , 0, 1)</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t="str">
        <f>_xlfn.XLOOKUP(C536, customers!$A$2:$A$1001, customers!$B$2:$B$1001, , 0, 1)</f>
        <v>Kris O'Cullen</v>
      </c>
      <c r="G536" s="2" t="str">
        <f>IF(_xlfn.XLOOKUP(C536,customers!$A$2:$A$1001,customers!$C$2:$C$1001,,0,1)=0,"",_xlfn.XLOOKUP(C536,customers!$A$2:$A$1001,customers!$C$2:$C$1001,,0,1))</f>
        <v>koculleneu@ca.gov</v>
      </c>
      <c r="H536" s="2" t="str">
        <f>_xlfn.XLOOKUP(C536, customers!$A$2:$A$1001, customers!$G$2:$G$1001, , 0, 1)</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t="str">
        <f>_xlfn.XLOOKUP(C537, customers!$A$2:$A$1001, customers!$B$2:$B$1001, , 0, 1)</f>
        <v>Timoteo Glisane</v>
      </c>
      <c r="G537" s="2" t="str">
        <f>IF(_xlfn.XLOOKUP(C537,customers!$A$2:$A$1001,customers!$C$2:$C$1001,,0,1)=0,"",_xlfn.XLOOKUP(C537,customers!$A$2:$A$1001,customers!$C$2:$C$1001,,0,1))</f>
        <v/>
      </c>
      <c r="H537" s="2" t="str">
        <f>_xlfn.XLOOKUP(C537, customers!$A$2:$A$1001, customers!$G$2:$G$1001, , 0, 1)</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Large</v>
      </c>
      <c r="P537" t="str">
        <f>_xlfn.XLOOKUP(Orders[[#This Row],[Customer ID]],customers!$A$1:$A$1001,customers!$I$1:$I$1001,"",0)</f>
        <v>No</v>
      </c>
    </row>
    <row r="538" spans="1:16" x14ac:dyDescent="0.3">
      <c r="A538" s="2" t="s">
        <v>3521</v>
      </c>
      <c r="B538" s="3">
        <v>43544</v>
      </c>
      <c r="C538" s="2" t="s">
        <v>3368</v>
      </c>
      <c r="D538" t="s">
        <v>6163</v>
      </c>
      <c r="E538" s="2">
        <v>3</v>
      </c>
      <c r="F538" t="str">
        <f>_xlfn.XLOOKUP(C538, customers!$A$2:$A$1001, customers!$B$2:$B$1001, , 0, 1)</f>
        <v>Marja Urion</v>
      </c>
      <c r="G538" s="2" t="str">
        <f>IF(_xlfn.XLOOKUP(C538,customers!$A$2:$A$1001,customers!$C$2:$C$1001,,0,1)=0,"",_xlfn.XLOOKUP(C538,customers!$A$2:$A$1001,customers!$C$2:$C$1001,,0,1))</f>
        <v>murione5@alexa.com</v>
      </c>
      <c r="H538" s="2" t="str">
        <f>_xlfn.XLOOKUP(C538, customers!$A$2:$A$1001, customers!$G$2:$G$1001, , 0, 1)</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t="str">
        <f>_xlfn.XLOOKUP(C539, customers!$A$2:$A$1001, customers!$B$2:$B$1001, , 0, 1)</f>
        <v>Hildegarde Brangan</v>
      </c>
      <c r="G539" s="2" t="str">
        <f>IF(_xlfn.XLOOKUP(C539,customers!$A$2:$A$1001,customers!$C$2:$C$1001,,0,1)=0,"",_xlfn.XLOOKUP(C539,customers!$A$2:$A$1001,customers!$C$2:$C$1001,,0,1))</f>
        <v>hbranganex@woothemes.com</v>
      </c>
      <c r="H539" s="2" t="str">
        <f>_xlfn.XLOOKUP(C539, customers!$A$2:$A$1001, customers!$G$2:$G$1001, , 0, 1)</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t="str">
        <f>_xlfn.XLOOKUP(C540, customers!$A$2:$A$1001, customers!$B$2:$B$1001, , 0, 1)</f>
        <v>Amii Gallyon</v>
      </c>
      <c r="G540" s="2" t="str">
        <f>IF(_xlfn.XLOOKUP(C540,customers!$A$2:$A$1001,customers!$C$2:$C$1001,,0,1)=0,"",_xlfn.XLOOKUP(C540,customers!$A$2:$A$1001,customers!$C$2:$C$1001,,0,1))</f>
        <v>agallyoney@engadget.com</v>
      </c>
      <c r="H540" s="2" t="str">
        <f>_xlfn.XLOOKUP(C540, customers!$A$2:$A$1001, customers!$G$2:$G$1001, , 0, 1)</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t="str">
        <f>_xlfn.XLOOKUP(C541, customers!$A$2:$A$1001, customers!$B$2:$B$1001, , 0, 1)</f>
        <v>Birgit Domange</v>
      </c>
      <c r="G541" s="2" t="str">
        <f>IF(_xlfn.XLOOKUP(C541,customers!$A$2:$A$1001,customers!$C$2:$C$1001,,0,1)=0,"",_xlfn.XLOOKUP(C541,customers!$A$2:$A$1001,customers!$C$2:$C$1001,,0,1))</f>
        <v>bdomangeez@yahoo.co.jp</v>
      </c>
      <c r="H541" s="2" t="str">
        <f>_xlfn.XLOOKUP(C541, customers!$A$2:$A$1001, customers!$G$2:$G$1001, , 0, 1)</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t="str">
        <f>_xlfn.XLOOKUP(C542, customers!$A$2:$A$1001, customers!$B$2:$B$1001, , 0, 1)</f>
        <v>Killian Osler</v>
      </c>
      <c r="G542" s="2" t="str">
        <f>IF(_xlfn.XLOOKUP(C542,customers!$A$2:$A$1001,customers!$C$2:$C$1001,,0,1)=0,"",_xlfn.XLOOKUP(C542,customers!$A$2:$A$1001,customers!$C$2:$C$1001,,0,1))</f>
        <v>koslerf0@gmpg.org</v>
      </c>
      <c r="H542" s="2" t="str">
        <f>_xlfn.XLOOKUP(C542, customers!$A$2:$A$1001, customers!$G$2:$G$1001, , 0, 1)</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Large</v>
      </c>
      <c r="P542" t="str">
        <f>_xlfn.XLOOKUP(Orders[[#This Row],[Customer ID]],customers!$A$1:$A$1001,customers!$I$1:$I$1001,"",0)</f>
        <v>Yes</v>
      </c>
    </row>
    <row r="543" spans="1:16" x14ac:dyDescent="0.3">
      <c r="A543" s="2" t="s">
        <v>3548</v>
      </c>
      <c r="B543" s="3">
        <v>43750</v>
      </c>
      <c r="C543" s="2" t="s">
        <v>3549</v>
      </c>
      <c r="D543" t="s">
        <v>6168</v>
      </c>
      <c r="E543" s="2">
        <v>1</v>
      </c>
      <c r="F543" t="str">
        <f>_xlfn.XLOOKUP(C543, customers!$A$2:$A$1001, customers!$B$2:$B$1001, , 0, 1)</f>
        <v>Lora Dukes</v>
      </c>
      <c r="G543" s="2" t="str">
        <f>IF(_xlfn.XLOOKUP(C543,customers!$A$2:$A$1001,customers!$C$2:$C$1001,,0,1)=0,"",_xlfn.XLOOKUP(C543,customers!$A$2:$A$1001,customers!$C$2:$C$1001,,0,1))</f>
        <v/>
      </c>
      <c r="H543" s="2" t="str">
        <f>_xlfn.XLOOKUP(C543, customers!$A$2:$A$1001, customers!$G$2:$G$1001, , 0, 1)</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t="str">
        <f>_xlfn.XLOOKUP(C544, customers!$A$2:$A$1001, customers!$B$2:$B$1001, , 0, 1)</f>
        <v>Zack Pellett</v>
      </c>
      <c r="G544" s="2" t="str">
        <f>IF(_xlfn.XLOOKUP(C544,customers!$A$2:$A$1001,customers!$C$2:$C$1001,,0,1)=0,"",_xlfn.XLOOKUP(C544,customers!$A$2:$A$1001,customers!$C$2:$C$1001,,0,1))</f>
        <v>zpellettf2@dailymotion.com</v>
      </c>
      <c r="H544" s="2" t="str">
        <f>_xlfn.XLOOKUP(C544, customers!$A$2:$A$1001, customers!$G$2:$G$1001, , 0, 1)</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t="str">
        <f>_xlfn.XLOOKUP(C545, customers!$A$2:$A$1001, customers!$B$2:$B$1001, , 0, 1)</f>
        <v>Ilaire Sprakes</v>
      </c>
      <c r="G545" s="2" t="str">
        <f>IF(_xlfn.XLOOKUP(C545,customers!$A$2:$A$1001,customers!$C$2:$C$1001,,0,1)=0,"",_xlfn.XLOOKUP(C545,customers!$A$2:$A$1001,customers!$C$2:$C$1001,,0,1))</f>
        <v>isprakesf3@spiegel.de</v>
      </c>
      <c r="H545" s="2" t="str">
        <f>_xlfn.XLOOKUP(C545, customers!$A$2:$A$1001, customers!$G$2:$G$1001, , 0, 1)</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Large</v>
      </c>
      <c r="P545" t="str">
        <f>_xlfn.XLOOKUP(Orders[[#This Row],[Customer ID]],customers!$A$1:$A$1001,customers!$I$1:$I$1001,"",0)</f>
        <v>No</v>
      </c>
    </row>
    <row r="546" spans="1:16" x14ac:dyDescent="0.3">
      <c r="A546" s="2" t="s">
        <v>3565</v>
      </c>
      <c r="B546" s="3">
        <v>43869</v>
      </c>
      <c r="C546" s="2" t="s">
        <v>3566</v>
      </c>
      <c r="D546" t="s">
        <v>6180</v>
      </c>
      <c r="E546" s="2">
        <v>2</v>
      </c>
      <c r="F546" t="str">
        <f>_xlfn.XLOOKUP(C546, customers!$A$2:$A$1001, customers!$B$2:$B$1001, , 0, 1)</f>
        <v>Heda Fromant</v>
      </c>
      <c r="G546" s="2" t="str">
        <f>IF(_xlfn.XLOOKUP(C546,customers!$A$2:$A$1001,customers!$C$2:$C$1001,,0,1)=0,"",_xlfn.XLOOKUP(C546,customers!$A$2:$A$1001,customers!$C$2:$C$1001,,0,1))</f>
        <v>hfromantf4@ucsd.edu</v>
      </c>
      <c r="H546" s="2" t="str">
        <f>_xlfn.XLOOKUP(C546, customers!$A$2:$A$1001, customers!$G$2:$G$1001, , 0, 1)</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Large</v>
      </c>
      <c r="P546" t="str">
        <f>_xlfn.XLOOKUP(Orders[[#This Row],[Customer ID]],customers!$A$1:$A$1001,customers!$I$1:$I$1001,"",0)</f>
        <v>No</v>
      </c>
    </row>
    <row r="547" spans="1:16" x14ac:dyDescent="0.3">
      <c r="A547" s="2" t="s">
        <v>3571</v>
      </c>
      <c r="B547" s="3">
        <v>44120</v>
      </c>
      <c r="C547" s="2" t="s">
        <v>3572</v>
      </c>
      <c r="D547" t="s">
        <v>6150</v>
      </c>
      <c r="E547" s="2">
        <v>4</v>
      </c>
      <c r="F547" t="str">
        <f>_xlfn.XLOOKUP(C547, customers!$A$2:$A$1001, customers!$B$2:$B$1001, , 0, 1)</f>
        <v>Rufus Flear</v>
      </c>
      <c r="G547" s="2" t="str">
        <f>IF(_xlfn.XLOOKUP(C547,customers!$A$2:$A$1001,customers!$C$2:$C$1001,,0,1)=0,"",_xlfn.XLOOKUP(C547,customers!$A$2:$A$1001,customers!$C$2:$C$1001,,0,1))</f>
        <v>rflearf5@artisteer.com</v>
      </c>
      <c r="H547" s="2" t="str">
        <f>_xlfn.XLOOKUP(C547, customers!$A$2:$A$1001, customers!$G$2:$G$1001, , 0, 1)</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t="str">
        <f>_xlfn.XLOOKUP(C548, customers!$A$2:$A$1001, customers!$B$2:$B$1001, , 0, 1)</f>
        <v>Dom Milella</v>
      </c>
      <c r="G548" s="2" t="str">
        <f>IF(_xlfn.XLOOKUP(C548,customers!$A$2:$A$1001,customers!$C$2:$C$1001,,0,1)=0,"",_xlfn.XLOOKUP(C548,customers!$A$2:$A$1001,customers!$C$2:$C$1001,,0,1))</f>
        <v/>
      </c>
      <c r="H548" s="2" t="str">
        <f>_xlfn.XLOOKUP(C548, customers!$A$2:$A$1001, customers!$G$2:$G$1001, , 0, 1)</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t="str">
        <f>_xlfn.XLOOKUP(C549, customers!$A$2:$A$1001, customers!$B$2:$B$1001, , 0, 1)</f>
        <v>Wilek Lightollers</v>
      </c>
      <c r="G549" s="2" t="str">
        <f>IF(_xlfn.XLOOKUP(C549,customers!$A$2:$A$1001,customers!$C$2:$C$1001,,0,1)=0,"",_xlfn.XLOOKUP(C549,customers!$A$2:$A$1001,customers!$C$2:$C$1001,,0,1))</f>
        <v>wlightollersf9@baidu.com</v>
      </c>
      <c r="H549" s="2" t="str">
        <f>_xlfn.XLOOKUP(C549, customers!$A$2:$A$1001, customers!$G$2:$G$1001, , 0, 1)</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Large</v>
      </c>
      <c r="P549" t="str">
        <f>_xlfn.XLOOKUP(Orders[[#This Row],[Customer ID]],customers!$A$1:$A$1001,customers!$I$1:$I$1001,"",0)</f>
        <v>Yes</v>
      </c>
    </row>
    <row r="550" spans="1:16" x14ac:dyDescent="0.3">
      <c r="A550" s="2" t="s">
        <v>3587</v>
      </c>
      <c r="B550" s="3">
        <v>44384</v>
      </c>
      <c r="C550" s="2" t="s">
        <v>3588</v>
      </c>
      <c r="D550" t="s">
        <v>6184</v>
      </c>
      <c r="E550" s="2">
        <v>3</v>
      </c>
      <c r="F550" t="str">
        <f>_xlfn.XLOOKUP(C550, customers!$A$2:$A$1001, customers!$B$2:$B$1001, , 0, 1)</f>
        <v>Bette-ann Munden</v>
      </c>
      <c r="G550" s="2" t="str">
        <f>IF(_xlfn.XLOOKUP(C550,customers!$A$2:$A$1001,customers!$C$2:$C$1001,,0,1)=0,"",_xlfn.XLOOKUP(C550,customers!$A$2:$A$1001,customers!$C$2:$C$1001,,0,1))</f>
        <v>bmundenf8@elpais.com</v>
      </c>
      <c r="H550" s="2" t="str">
        <f>_xlfn.XLOOKUP(C550, customers!$A$2:$A$1001, customers!$G$2:$G$1001, , 0, 1)</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Large</v>
      </c>
      <c r="P550" t="str">
        <f>_xlfn.XLOOKUP(Orders[[#This Row],[Customer ID]],customers!$A$1:$A$1001,customers!$I$1:$I$1001,"",0)</f>
        <v>Yes</v>
      </c>
    </row>
    <row r="551" spans="1:16" x14ac:dyDescent="0.3">
      <c r="A551" s="2" t="s">
        <v>3593</v>
      </c>
      <c r="B551" s="3">
        <v>44232</v>
      </c>
      <c r="C551" s="2" t="s">
        <v>3594</v>
      </c>
      <c r="D551" t="s">
        <v>6184</v>
      </c>
      <c r="E551" s="2">
        <v>4</v>
      </c>
      <c r="F551" t="str">
        <f>_xlfn.XLOOKUP(C551, customers!$A$2:$A$1001, customers!$B$2:$B$1001, , 0, 1)</f>
        <v>Wilek Lightollers</v>
      </c>
      <c r="G551" s="2" t="str">
        <f>IF(_xlfn.XLOOKUP(C551,customers!$A$2:$A$1001,customers!$C$2:$C$1001,,0,1)=0,"",_xlfn.XLOOKUP(C551,customers!$A$2:$A$1001,customers!$C$2:$C$1001,,0,1))</f>
        <v>wlightollersf9@baidu.com</v>
      </c>
      <c r="H551" s="2" t="str">
        <f>_xlfn.XLOOKUP(C551, customers!$A$2:$A$1001, customers!$G$2:$G$1001, , 0, 1)</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Large</v>
      </c>
      <c r="P551" t="str">
        <f>_xlfn.XLOOKUP(Orders[[#This Row],[Customer ID]],customers!$A$1:$A$1001,customers!$I$1:$I$1001,"",0)</f>
        <v>Yes</v>
      </c>
    </row>
    <row r="552" spans="1:16" x14ac:dyDescent="0.3">
      <c r="A552" s="2" t="s">
        <v>3599</v>
      </c>
      <c r="B552" s="3">
        <v>44176</v>
      </c>
      <c r="C552" s="2" t="s">
        <v>3600</v>
      </c>
      <c r="D552" t="s">
        <v>6150</v>
      </c>
      <c r="E552" s="2">
        <v>6</v>
      </c>
      <c r="F552" t="str">
        <f>_xlfn.XLOOKUP(C552, customers!$A$2:$A$1001, customers!$B$2:$B$1001, , 0, 1)</f>
        <v>Nick Brakespear</v>
      </c>
      <c r="G552" s="2" t="str">
        <f>IF(_xlfn.XLOOKUP(C552,customers!$A$2:$A$1001,customers!$C$2:$C$1001,,0,1)=0,"",_xlfn.XLOOKUP(C552,customers!$A$2:$A$1001,customers!$C$2:$C$1001,,0,1))</f>
        <v>nbrakespearfa@rediff.com</v>
      </c>
      <c r="H552" s="2" t="str">
        <f>_xlfn.XLOOKUP(C552, customers!$A$2:$A$1001, customers!$G$2:$G$1001, , 0, 1)</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t="str">
        <f>_xlfn.XLOOKUP(C553, customers!$A$2:$A$1001, customers!$B$2:$B$1001, , 0, 1)</f>
        <v>Malynda Glawsop</v>
      </c>
      <c r="G553" s="2" t="str">
        <f>IF(_xlfn.XLOOKUP(C553,customers!$A$2:$A$1001,customers!$C$2:$C$1001,,0,1)=0,"",_xlfn.XLOOKUP(C553,customers!$A$2:$A$1001,customers!$C$2:$C$1001,,0,1))</f>
        <v>mglawsopfb@reverbnation.com</v>
      </c>
      <c r="H553" s="2" t="str">
        <f>_xlfn.XLOOKUP(C553, customers!$A$2:$A$1001, customers!$G$2:$G$1001, , 0, 1)</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t="str">
        <f>_xlfn.XLOOKUP(C554, customers!$A$2:$A$1001, customers!$B$2:$B$1001, , 0, 1)</f>
        <v>Granville Alberts</v>
      </c>
      <c r="G554" s="2" t="str">
        <f>IF(_xlfn.XLOOKUP(C554,customers!$A$2:$A$1001,customers!$C$2:$C$1001,,0,1)=0,"",_xlfn.XLOOKUP(C554,customers!$A$2:$A$1001,customers!$C$2:$C$1001,,0,1))</f>
        <v>galbertsfc@etsy.com</v>
      </c>
      <c r="H554" s="2" t="str">
        <f>_xlfn.XLOOKUP(C554, customers!$A$2:$A$1001, customers!$G$2:$G$1001, , 0, 1)</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Large</v>
      </c>
      <c r="P554" t="str">
        <f>_xlfn.XLOOKUP(Orders[[#This Row],[Customer ID]],customers!$A$1:$A$1001,customers!$I$1:$I$1001,"",0)</f>
        <v>Yes</v>
      </c>
    </row>
    <row r="555" spans="1:16" x14ac:dyDescent="0.3">
      <c r="A555" s="2" t="s">
        <v>3617</v>
      </c>
      <c r="B555" s="3">
        <v>44085</v>
      </c>
      <c r="C555" s="2" t="s">
        <v>3618</v>
      </c>
      <c r="D555" t="s">
        <v>6141</v>
      </c>
      <c r="E555" s="2">
        <v>5</v>
      </c>
      <c r="F555" t="str">
        <f>_xlfn.XLOOKUP(C555, customers!$A$2:$A$1001, customers!$B$2:$B$1001, , 0, 1)</f>
        <v>Vasily Polglase</v>
      </c>
      <c r="G555" s="2" t="str">
        <f>IF(_xlfn.XLOOKUP(C555,customers!$A$2:$A$1001,customers!$C$2:$C$1001,,0,1)=0,"",_xlfn.XLOOKUP(C555,customers!$A$2:$A$1001,customers!$C$2:$C$1001,,0,1))</f>
        <v>vpolglasefd@about.me</v>
      </c>
      <c r="H555" s="2" t="str">
        <f>_xlfn.XLOOKUP(C555, customers!$A$2:$A$1001, customers!$G$2:$G$1001, , 0, 1)</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t="str">
        <f>_xlfn.XLOOKUP(C556, customers!$A$2:$A$1001, customers!$B$2:$B$1001, , 0, 1)</f>
        <v>Madelaine Sharples</v>
      </c>
      <c r="G556" s="2" t="str">
        <f>IF(_xlfn.XLOOKUP(C556,customers!$A$2:$A$1001,customers!$C$2:$C$1001,,0,1)=0,"",_xlfn.XLOOKUP(C556,customers!$A$2:$A$1001,customers!$C$2:$C$1001,,0,1))</f>
        <v/>
      </c>
      <c r="H556" s="2" t="str">
        <f>_xlfn.XLOOKUP(C556, customers!$A$2:$A$1001, customers!$G$2:$G$1001, , 0, 1)</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Large</v>
      </c>
      <c r="P556" t="str">
        <f>_xlfn.XLOOKUP(Orders[[#This Row],[Customer ID]],customers!$A$1:$A$1001,customers!$I$1:$I$1001,"",0)</f>
        <v>Yes</v>
      </c>
    </row>
    <row r="557" spans="1:16" x14ac:dyDescent="0.3">
      <c r="A557" s="2" t="s">
        <v>3627</v>
      </c>
      <c r="B557" s="3">
        <v>44258</v>
      </c>
      <c r="C557" s="2" t="s">
        <v>3628</v>
      </c>
      <c r="D557" t="s">
        <v>6141</v>
      </c>
      <c r="E557" s="2">
        <v>6</v>
      </c>
      <c r="F557" t="str">
        <f>_xlfn.XLOOKUP(C557, customers!$A$2:$A$1001, customers!$B$2:$B$1001, , 0, 1)</f>
        <v>Sigfrid Busch</v>
      </c>
      <c r="G557" s="2" t="str">
        <f>IF(_xlfn.XLOOKUP(C557,customers!$A$2:$A$1001,customers!$C$2:$C$1001,,0,1)=0,"",_xlfn.XLOOKUP(C557,customers!$A$2:$A$1001,customers!$C$2:$C$1001,,0,1))</f>
        <v>sbuschff@so-net.ne.jp</v>
      </c>
      <c r="H557" s="2" t="str">
        <f>_xlfn.XLOOKUP(C557, customers!$A$2:$A$1001, customers!$G$2:$G$1001, , 0, 1)</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t="str">
        <f>_xlfn.XLOOKUP(C558, customers!$A$2:$A$1001, customers!$B$2:$B$1001, , 0, 1)</f>
        <v>Cissiee Raisbeck</v>
      </c>
      <c r="G558" s="2" t="str">
        <f>IF(_xlfn.XLOOKUP(C558,customers!$A$2:$A$1001,customers!$C$2:$C$1001,,0,1)=0,"",_xlfn.XLOOKUP(C558,customers!$A$2:$A$1001,customers!$C$2:$C$1001,,0,1))</f>
        <v>craisbeckfg@webnode.com</v>
      </c>
      <c r="H558" s="2" t="str">
        <f>_xlfn.XLOOKUP(C558, customers!$A$2:$A$1001, customers!$G$2:$G$1001, , 0, 1)</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t="str">
        <f>_xlfn.XLOOKUP(C559, customers!$A$2:$A$1001, customers!$B$2:$B$1001, , 0, 1)</f>
        <v>Marja Urion</v>
      </c>
      <c r="G559" s="2" t="str">
        <f>IF(_xlfn.XLOOKUP(C559,customers!$A$2:$A$1001,customers!$C$2:$C$1001,,0,1)=0,"",_xlfn.XLOOKUP(C559,customers!$A$2:$A$1001,customers!$C$2:$C$1001,,0,1))</f>
        <v>murione5@alexa.com</v>
      </c>
      <c r="H559" s="2" t="str">
        <f>_xlfn.XLOOKUP(C559, customers!$A$2:$A$1001, customers!$G$2:$G$1001, , 0, 1)</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Large</v>
      </c>
      <c r="P559" t="str">
        <f>_xlfn.XLOOKUP(Orders[[#This Row],[Customer ID]],customers!$A$1:$A$1001,customers!$I$1:$I$1001,"",0)</f>
        <v>Yes</v>
      </c>
    </row>
    <row r="560" spans="1:16" x14ac:dyDescent="0.3">
      <c r="A560" s="2" t="s">
        <v>3643</v>
      </c>
      <c r="B560" s="3">
        <v>44225</v>
      </c>
      <c r="C560" s="2" t="s">
        <v>3644</v>
      </c>
      <c r="D560" t="s">
        <v>6150</v>
      </c>
      <c r="E560" s="2">
        <v>4</v>
      </c>
      <c r="F560" t="str">
        <f>_xlfn.XLOOKUP(C560, customers!$A$2:$A$1001, customers!$B$2:$B$1001, , 0, 1)</f>
        <v>Kenton Wetherick</v>
      </c>
      <c r="G560" s="2" t="str">
        <f>IF(_xlfn.XLOOKUP(C560,customers!$A$2:$A$1001,customers!$C$2:$C$1001,,0,1)=0,"",_xlfn.XLOOKUP(C560,customers!$A$2:$A$1001,customers!$C$2:$C$1001,,0,1))</f>
        <v/>
      </c>
      <c r="H560" s="2" t="str">
        <f>_xlfn.XLOOKUP(C560, customers!$A$2:$A$1001, customers!$G$2:$G$1001, , 0, 1)</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t="str">
        <f>_xlfn.XLOOKUP(C561, customers!$A$2:$A$1001, customers!$B$2:$B$1001, , 0, 1)</f>
        <v>Reamonn Aynold</v>
      </c>
      <c r="G561" s="2" t="str">
        <f>IF(_xlfn.XLOOKUP(C561,customers!$A$2:$A$1001,customers!$C$2:$C$1001,,0,1)=0,"",_xlfn.XLOOKUP(C561,customers!$A$2:$A$1001,customers!$C$2:$C$1001,,0,1))</f>
        <v>raynoldfj@ustream.tv</v>
      </c>
      <c r="H561" s="2" t="str">
        <f>_xlfn.XLOOKUP(C561, customers!$A$2:$A$1001, customers!$G$2:$G$1001, , 0, 1)</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Large</v>
      </c>
      <c r="P561" t="str">
        <f>_xlfn.XLOOKUP(Orders[[#This Row],[Customer ID]],customers!$A$1:$A$1001,customers!$I$1:$I$1001,"",0)</f>
        <v>Yes</v>
      </c>
    </row>
    <row r="562" spans="1:16" x14ac:dyDescent="0.3">
      <c r="A562" s="2" t="s">
        <v>3654</v>
      </c>
      <c r="B562" s="3">
        <v>44401</v>
      </c>
      <c r="C562" s="2" t="s">
        <v>3655</v>
      </c>
      <c r="D562" t="s">
        <v>6166</v>
      </c>
      <c r="E562" s="2">
        <v>6</v>
      </c>
      <c r="F562" t="str">
        <f>_xlfn.XLOOKUP(C562, customers!$A$2:$A$1001, customers!$B$2:$B$1001, , 0, 1)</f>
        <v>Hatty Dovydenas</v>
      </c>
      <c r="G562" s="2" t="str">
        <f>IF(_xlfn.XLOOKUP(C562,customers!$A$2:$A$1001,customers!$C$2:$C$1001,,0,1)=0,"",_xlfn.XLOOKUP(C562,customers!$A$2:$A$1001,customers!$C$2:$C$1001,,0,1))</f>
        <v/>
      </c>
      <c r="H562" s="2" t="str">
        <f>_xlfn.XLOOKUP(C562, customers!$A$2:$A$1001, customers!$G$2:$G$1001, , 0, 1)</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t="str">
        <f>_xlfn.XLOOKUP(C563, customers!$A$2:$A$1001, customers!$B$2:$B$1001, , 0, 1)</f>
        <v>Nathaniel Bloxland</v>
      </c>
      <c r="G563" s="2" t="str">
        <f>IF(_xlfn.XLOOKUP(C563,customers!$A$2:$A$1001,customers!$C$2:$C$1001,,0,1)=0,"",_xlfn.XLOOKUP(C563,customers!$A$2:$A$1001,customers!$C$2:$C$1001,,0,1))</f>
        <v/>
      </c>
      <c r="H563" s="2" t="str">
        <f>_xlfn.XLOOKUP(C563, customers!$A$2:$A$1001, customers!$G$2:$G$1001, , 0, 1)</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t="str">
        <f>_xlfn.XLOOKUP(C564, customers!$A$2:$A$1001, customers!$B$2:$B$1001, , 0, 1)</f>
        <v>Brendan Grece</v>
      </c>
      <c r="G564" s="2" t="str">
        <f>IF(_xlfn.XLOOKUP(C564,customers!$A$2:$A$1001,customers!$C$2:$C$1001,,0,1)=0,"",_xlfn.XLOOKUP(C564,customers!$A$2:$A$1001,customers!$C$2:$C$1001,,0,1))</f>
        <v>bgrecefm@naver.com</v>
      </c>
      <c r="H564" s="2" t="str">
        <f>_xlfn.XLOOKUP(C564, customers!$A$2:$A$1001, customers!$G$2:$G$1001, , 0, 1)</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Large</v>
      </c>
      <c r="P564" t="str">
        <f>_xlfn.XLOOKUP(Orders[[#This Row],[Customer ID]],customers!$A$1:$A$1001,customers!$I$1:$I$1001,"",0)</f>
        <v>No</v>
      </c>
    </row>
    <row r="565" spans="1:16" x14ac:dyDescent="0.3">
      <c r="A565" s="2" t="s">
        <v>3671</v>
      </c>
      <c r="B565" s="3">
        <v>43991</v>
      </c>
      <c r="C565" s="2" t="s">
        <v>3752</v>
      </c>
      <c r="D565" t="s">
        <v>6141</v>
      </c>
      <c r="E565" s="2">
        <v>6</v>
      </c>
      <c r="F565" t="str">
        <f>_xlfn.XLOOKUP(C565, customers!$A$2:$A$1001, customers!$B$2:$B$1001, , 0, 1)</f>
        <v>Don Flintiff</v>
      </c>
      <c r="G565" s="2" t="str">
        <f>IF(_xlfn.XLOOKUP(C565,customers!$A$2:$A$1001,customers!$C$2:$C$1001,,0,1)=0,"",_xlfn.XLOOKUP(C565,customers!$A$2:$A$1001,customers!$C$2:$C$1001,,0,1))</f>
        <v>dflintiffg1@e-recht24.de</v>
      </c>
      <c r="H565" s="2" t="str">
        <f>_xlfn.XLOOKUP(C565, customers!$A$2:$A$1001, customers!$G$2:$G$1001, , 0, 1)</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t="str">
        <f>_xlfn.XLOOKUP(C566, customers!$A$2:$A$1001, customers!$B$2:$B$1001, , 0, 1)</f>
        <v>Abbe Thys</v>
      </c>
      <c r="G566" s="2" t="str">
        <f>IF(_xlfn.XLOOKUP(C566,customers!$A$2:$A$1001,customers!$C$2:$C$1001,,0,1)=0,"",_xlfn.XLOOKUP(C566,customers!$A$2:$A$1001,customers!$C$2:$C$1001,,0,1))</f>
        <v>athysfo@cdc.gov</v>
      </c>
      <c r="H566" s="2" t="str">
        <f>_xlfn.XLOOKUP(C566, customers!$A$2:$A$1001, customers!$G$2:$G$1001, , 0, 1)</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Large</v>
      </c>
      <c r="P566" t="str">
        <f>_xlfn.XLOOKUP(Orders[[#This Row],[Customer ID]],customers!$A$1:$A$1001,customers!$I$1:$I$1001,"",0)</f>
        <v>No</v>
      </c>
    </row>
    <row r="567" spans="1:16" x14ac:dyDescent="0.3">
      <c r="A567" s="2" t="s">
        <v>3683</v>
      </c>
      <c r="B567" s="3">
        <v>44031</v>
      </c>
      <c r="C567" s="2" t="s">
        <v>3684</v>
      </c>
      <c r="D567" t="s">
        <v>6149</v>
      </c>
      <c r="E567" s="2">
        <v>4</v>
      </c>
      <c r="F567" t="str">
        <f>_xlfn.XLOOKUP(C567, customers!$A$2:$A$1001, customers!$B$2:$B$1001, , 0, 1)</f>
        <v>Jackquelin Chugg</v>
      </c>
      <c r="G567" s="2" t="str">
        <f>IF(_xlfn.XLOOKUP(C567,customers!$A$2:$A$1001,customers!$C$2:$C$1001,,0,1)=0,"",_xlfn.XLOOKUP(C567,customers!$A$2:$A$1001,customers!$C$2:$C$1001,,0,1))</f>
        <v>jchuggfp@about.me</v>
      </c>
      <c r="H567" s="2" t="str">
        <f>_xlfn.XLOOKUP(C567, customers!$A$2:$A$1001, customers!$G$2:$G$1001, , 0, 1)</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t="str">
        <f>_xlfn.XLOOKUP(C568, customers!$A$2:$A$1001, customers!$B$2:$B$1001, , 0, 1)</f>
        <v>Audra Kelston</v>
      </c>
      <c r="G568" s="2" t="str">
        <f>IF(_xlfn.XLOOKUP(C568,customers!$A$2:$A$1001,customers!$C$2:$C$1001,,0,1)=0,"",_xlfn.XLOOKUP(C568,customers!$A$2:$A$1001,customers!$C$2:$C$1001,,0,1))</f>
        <v>akelstonfq@sakura.ne.jp</v>
      </c>
      <c r="H568" s="2" t="str">
        <f>_xlfn.XLOOKUP(C568, customers!$A$2:$A$1001, customers!$G$2:$G$1001, , 0, 1)</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t="str">
        <f>_xlfn.XLOOKUP(C569, customers!$A$2:$A$1001, customers!$B$2:$B$1001, , 0, 1)</f>
        <v>Elvina Angel</v>
      </c>
      <c r="G569" s="2" t="str">
        <f>IF(_xlfn.XLOOKUP(C569,customers!$A$2:$A$1001,customers!$C$2:$C$1001,,0,1)=0,"",_xlfn.XLOOKUP(C569,customers!$A$2:$A$1001,customers!$C$2:$C$1001,,0,1))</f>
        <v/>
      </c>
      <c r="H569" s="2" t="str">
        <f>_xlfn.XLOOKUP(C569, customers!$A$2:$A$1001, customers!$G$2:$G$1001, , 0, 1)</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Large</v>
      </c>
      <c r="P569" t="str">
        <f>_xlfn.XLOOKUP(Orders[[#This Row],[Customer ID]],customers!$A$1:$A$1001,customers!$I$1:$I$1001,"",0)</f>
        <v>No</v>
      </c>
    </row>
    <row r="570" spans="1:16" x14ac:dyDescent="0.3">
      <c r="A570" s="2" t="s">
        <v>3700</v>
      </c>
      <c r="B570" s="3">
        <v>44526</v>
      </c>
      <c r="C570" s="2" t="s">
        <v>3701</v>
      </c>
      <c r="D570" t="s">
        <v>6145</v>
      </c>
      <c r="E570" s="2">
        <v>4</v>
      </c>
      <c r="F570" t="str">
        <f>_xlfn.XLOOKUP(C570, customers!$A$2:$A$1001, customers!$B$2:$B$1001, , 0, 1)</f>
        <v>Claiborne Mottram</v>
      </c>
      <c r="G570" s="2" t="str">
        <f>IF(_xlfn.XLOOKUP(C570,customers!$A$2:$A$1001,customers!$C$2:$C$1001,,0,1)=0,"",_xlfn.XLOOKUP(C570,customers!$A$2:$A$1001,customers!$C$2:$C$1001,,0,1))</f>
        <v>cmottramfs@harvard.edu</v>
      </c>
      <c r="H570" s="2" t="str">
        <f>_xlfn.XLOOKUP(C570, customers!$A$2:$A$1001, customers!$G$2:$G$1001, , 0, 1)</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Large</v>
      </c>
      <c r="P570" t="str">
        <f>_xlfn.XLOOKUP(Orders[[#This Row],[Customer ID]],customers!$A$1:$A$1001,customers!$I$1:$I$1001,"",0)</f>
        <v>Yes</v>
      </c>
    </row>
    <row r="571" spans="1:16" x14ac:dyDescent="0.3">
      <c r="A571" s="2" t="s">
        <v>3706</v>
      </c>
      <c r="B571" s="3">
        <v>43879</v>
      </c>
      <c r="C571" s="2" t="s">
        <v>3752</v>
      </c>
      <c r="D571" t="s">
        <v>6168</v>
      </c>
      <c r="E571" s="2">
        <v>6</v>
      </c>
      <c r="F571" t="str">
        <f>_xlfn.XLOOKUP(C571, customers!$A$2:$A$1001, customers!$B$2:$B$1001, , 0, 1)</f>
        <v>Don Flintiff</v>
      </c>
      <c r="G571" s="2" t="str">
        <f>IF(_xlfn.XLOOKUP(C571,customers!$A$2:$A$1001,customers!$C$2:$C$1001,,0,1)=0,"",_xlfn.XLOOKUP(C571,customers!$A$2:$A$1001,customers!$C$2:$C$1001,,0,1))</f>
        <v>dflintiffg1@e-recht24.de</v>
      </c>
      <c r="H571" s="2" t="str">
        <f>_xlfn.XLOOKUP(C571, customers!$A$2:$A$1001, customers!$G$2:$G$1001, , 0, 1)</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t="str">
        <f>_xlfn.XLOOKUP(C572, customers!$A$2:$A$1001, customers!$B$2:$B$1001, , 0, 1)</f>
        <v>Donalt Sangwin</v>
      </c>
      <c r="G572" s="2" t="str">
        <f>IF(_xlfn.XLOOKUP(C572,customers!$A$2:$A$1001,customers!$C$2:$C$1001,,0,1)=0,"",_xlfn.XLOOKUP(C572,customers!$A$2:$A$1001,customers!$C$2:$C$1001,,0,1))</f>
        <v>dsangwinfu@weebly.com</v>
      </c>
      <c r="H572" s="2" t="str">
        <f>_xlfn.XLOOKUP(C572, customers!$A$2:$A$1001, customers!$G$2:$G$1001, , 0, 1)</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t="str">
        <f>_xlfn.XLOOKUP(C573, customers!$A$2:$A$1001, customers!$B$2:$B$1001, , 0, 1)</f>
        <v>Elizabet Aizikowitz</v>
      </c>
      <c r="G573" s="2" t="str">
        <f>IF(_xlfn.XLOOKUP(C573,customers!$A$2:$A$1001,customers!$C$2:$C$1001,,0,1)=0,"",_xlfn.XLOOKUP(C573,customers!$A$2:$A$1001,customers!$C$2:$C$1001,,0,1))</f>
        <v>eaizikowitzfv@virginia.edu</v>
      </c>
      <c r="H573" s="2" t="str">
        <f>_xlfn.XLOOKUP(C573, customers!$A$2:$A$1001, customers!$G$2:$G$1001, , 0, 1)</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Large</v>
      </c>
      <c r="P573" t="str">
        <f>_xlfn.XLOOKUP(Orders[[#This Row],[Customer ID]],customers!$A$1:$A$1001,customers!$I$1:$I$1001,"",0)</f>
        <v>No</v>
      </c>
    </row>
    <row r="574" spans="1:16" x14ac:dyDescent="0.3">
      <c r="A574" s="2" t="s">
        <v>3724</v>
      </c>
      <c r="B574" s="3">
        <v>43515</v>
      </c>
      <c r="C574" s="2" t="s">
        <v>3725</v>
      </c>
      <c r="D574" t="s">
        <v>6154</v>
      </c>
      <c r="E574" s="2">
        <v>2</v>
      </c>
      <c r="F574" t="str">
        <f>_xlfn.XLOOKUP(C574, customers!$A$2:$A$1001, customers!$B$2:$B$1001, , 0, 1)</f>
        <v>Herbie Peppard</v>
      </c>
      <c r="G574" s="2" t="str">
        <f>IF(_xlfn.XLOOKUP(C574,customers!$A$2:$A$1001,customers!$C$2:$C$1001,,0,1)=0,"",_xlfn.XLOOKUP(C574,customers!$A$2:$A$1001,customers!$C$2:$C$1001,,0,1))</f>
        <v/>
      </c>
      <c r="H574" s="2" t="str">
        <f>_xlfn.XLOOKUP(C574, customers!$A$2:$A$1001, customers!$G$2:$G$1001, , 0, 1)</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t="str">
        <f>_xlfn.XLOOKUP(C575, customers!$A$2:$A$1001, customers!$B$2:$B$1001, , 0, 1)</f>
        <v>Cornie Venour</v>
      </c>
      <c r="G575" s="2" t="str">
        <f>IF(_xlfn.XLOOKUP(C575,customers!$A$2:$A$1001,customers!$C$2:$C$1001,,0,1)=0,"",_xlfn.XLOOKUP(C575,customers!$A$2:$A$1001,customers!$C$2:$C$1001,,0,1))</f>
        <v>cvenourfx@ask.com</v>
      </c>
      <c r="H575" s="2" t="str">
        <f>_xlfn.XLOOKUP(C575, customers!$A$2:$A$1001, customers!$G$2:$G$1001, , 0, 1)</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t="str">
        <f>_xlfn.XLOOKUP(C576, customers!$A$2:$A$1001, customers!$B$2:$B$1001, , 0, 1)</f>
        <v>Maggy Harby</v>
      </c>
      <c r="G576" s="2" t="str">
        <f>IF(_xlfn.XLOOKUP(C576,customers!$A$2:$A$1001,customers!$C$2:$C$1001,,0,1)=0,"",_xlfn.XLOOKUP(C576,customers!$A$2:$A$1001,customers!$C$2:$C$1001,,0,1))</f>
        <v>mharbyfy@163.com</v>
      </c>
      <c r="H576" s="2" t="str">
        <f>_xlfn.XLOOKUP(C576, customers!$A$2:$A$1001, customers!$G$2:$G$1001, , 0, 1)</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Large</v>
      </c>
      <c r="P576" t="str">
        <f>_xlfn.XLOOKUP(Orders[[#This Row],[Customer ID]],customers!$A$1:$A$1001,customers!$I$1:$I$1001,"",0)</f>
        <v>Yes</v>
      </c>
    </row>
    <row r="577" spans="1:16" x14ac:dyDescent="0.3">
      <c r="A577" s="2" t="s">
        <v>3739</v>
      </c>
      <c r="B577" s="3">
        <v>44239</v>
      </c>
      <c r="C577" s="2" t="s">
        <v>3740</v>
      </c>
      <c r="D577" t="s">
        <v>6181</v>
      </c>
      <c r="E577" s="2">
        <v>2</v>
      </c>
      <c r="F577" t="str">
        <f>_xlfn.XLOOKUP(C577, customers!$A$2:$A$1001, customers!$B$2:$B$1001, , 0, 1)</f>
        <v>Reggie Thickpenny</v>
      </c>
      <c r="G577" s="2" t="str">
        <f>IF(_xlfn.XLOOKUP(C577,customers!$A$2:$A$1001,customers!$C$2:$C$1001,,0,1)=0,"",_xlfn.XLOOKUP(C577,customers!$A$2:$A$1001,customers!$C$2:$C$1001,,0,1))</f>
        <v>rthickpennyfz@cafepress.com</v>
      </c>
      <c r="H577" s="2" t="str">
        <f>_xlfn.XLOOKUP(C577, customers!$A$2:$A$1001, customers!$G$2:$G$1001, , 0, 1)</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t="str">
        <f>_xlfn.XLOOKUP(C578, customers!$A$2:$A$1001, customers!$B$2:$B$1001, , 0, 1)</f>
        <v>Phyllys Ormerod</v>
      </c>
      <c r="G578" s="2" t="str">
        <f>IF(_xlfn.XLOOKUP(C578,customers!$A$2:$A$1001,customers!$C$2:$C$1001,,0,1)=0,"",_xlfn.XLOOKUP(C578,customers!$A$2:$A$1001,customers!$C$2:$C$1001,,0,1))</f>
        <v>pormerodg0@redcross.org</v>
      </c>
      <c r="H578" s="2" t="str">
        <f>_xlfn.XLOOKUP(C578, customers!$A$2:$A$1001, customers!$G$2:$G$1001, , 0, 1)</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t="str">
        <f>_xlfn.XLOOKUP(C579, customers!$A$2:$A$1001, customers!$B$2:$B$1001, , 0, 1)</f>
        <v>Don Flintiff</v>
      </c>
      <c r="G579" s="2" t="str">
        <f>IF(_xlfn.XLOOKUP(C579,customers!$A$2:$A$1001,customers!$C$2:$C$1001,,0,1)=0,"",_xlfn.XLOOKUP(C579,customers!$A$2:$A$1001,customers!$C$2:$C$1001,,0,1))</f>
        <v>dflintiffg1@e-recht24.de</v>
      </c>
      <c r="H579" s="2" t="str">
        <f>_xlfn.XLOOKUP(C579, customers!$A$2:$A$1001, customers!$G$2:$G$1001, , 0, 1)</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IF(J579="M","Medium",IF(J579="L","Large",IF(J579="D","Dark","")))</f>
        <v>Medium</v>
      </c>
      <c r="P579" t="str">
        <f>_xlfn.XLOOKUP(Orders[[#This Row],[Customer ID]],customers!$A$1:$A$1001,customers!$I$1:$I$1001,"",0)</f>
        <v>No</v>
      </c>
    </row>
    <row r="580" spans="1:16" x14ac:dyDescent="0.3">
      <c r="A580" s="2" t="s">
        <v>3756</v>
      </c>
      <c r="B580" s="3">
        <v>44720</v>
      </c>
      <c r="C580" s="2" t="s">
        <v>3757</v>
      </c>
      <c r="D580" t="s">
        <v>6184</v>
      </c>
      <c r="E580" s="2">
        <v>3</v>
      </c>
      <c r="F580" t="str">
        <f>_xlfn.XLOOKUP(C580, customers!$A$2:$A$1001, customers!$B$2:$B$1001, , 0, 1)</f>
        <v>Tymon Zanetti</v>
      </c>
      <c r="G580" s="2" t="str">
        <f>IF(_xlfn.XLOOKUP(C580,customers!$A$2:$A$1001,customers!$C$2:$C$1001,,0,1)=0,"",_xlfn.XLOOKUP(C580,customers!$A$2:$A$1001,customers!$C$2:$C$1001,,0,1))</f>
        <v>tzanettig2@gravatar.com</v>
      </c>
      <c r="H580" s="2" t="str">
        <f>_xlfn.XLOOKUP(C580, customers!$A$2:$A$1001, customers!$G$2:$G$1001, , 0, 1)</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Large</v>
      </c>
      <c r="P580" t="str">
        <f>_xlfn.XLOOKUP(Orders[[#This Row],[Customer ID]],customers!$A$1:$A$1001,customers!$I$1:$I$1001,"",0)</f>
        <v>No</v>
      </c>
    </row>
    <row r="581" spans="1:16" x14ac:dyDescent="0.3">
      <c r="A581" s="2" t="s">
        <v>3756</v>
      </c>
      <c r="B581" s="3">
        <v>44720</v>
      </c>
      <c r="C581" s="2" t="s">
        <v>3757</v>
      </c>
      <c r="D581" t="s">
        <v>6157</v>
      </c>
      <c r="E581" s="2">
        <v>5</v>
      </c>
      <c r="F581" t="str">
        <f>_xlfn.XLOOKUP(C581, customers!$A$2:$A$1001, customers!$B$2:$B$1001, , 0, 1)</f>
        <v>Tymon Zanetti</v>
      </c>
      <c r="G581" s="2" t="str">
        <f>IF(_xlfn.XLOOKUP(C581,customers!$A$2:$A$1001,customers!$C$2:$C$1001,,0,1)=0,"",_xlfn.XLOOKUP(C581,customers!$A$2:$A$1001,customers!$C$2:$C$1001,,0,1))</f>
        <v>tzanettig2@gravatar.com</v>
      </c>
      <c r="H581" s="2" t="str">
        <f>_xlfn.XLOOKUP(C581, customers!$A$2:$A$1001, customers!$G$2:$G$1001, , 0, 1)</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t="str">
        <f>_xlfn.XLOOKUP(C582, customers!$A$2:$A$1001, customers!$B$2:$B$1001, , 0, 1)</f>
        <v>Reinaldos Kirtley</v>
      </c>
      <c r="G582" s="2" t="str">
        <f>IF(_xlfn.XLOOKUP(C582,customers!$A$2:$A$1001,customers!$C$2:$C$1001,,0,1)=0,"",_xlfn.XLOOKUP(C582,customers!$A$2:$A$1001,customers!$C$2:$C$1001,,0,1))</f>
        <v>rkirtleyg4@hatena.ne.jp</v>
      </c>
      <c r="H582" s="2" t="str">
        <f>_xlfn.XLOOKUP(C582, customers!$A$2:$A$1001, customers!$G$2:$G$1001, , 0, 1)</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Large</v>
      </c>
      <c r="P582" t="str">
        <f>_xlfn.XLOOKUP(Orders[[#This Row],[Customer ID]],customers!$A$1:$A$1001,customers!$I$1:$I$1001,"",0)</f>
        <v>Yes</v>
      </c>
    </row>
    <row r="583" spans="1:16" x14ac:dyDescent="0.3">
      <c r="A583" s="2" t="s">
        <v>3773</v>
      </c>
      <c r="B583" s="3">
        <v>44190</v>
      </c>
      <c r="C583" s="2" t="s">
        <v>3774</v>
      </c>
      <c r="D583" t="s">
        <v>6176</v>
      </c>
      <c r="E583" s="2">
        <v>5</v>
      </c>
      <c r="F583" t="str">
        <f>_xlfn.XLOOKUP(C583, customers!$A$2:$A$1001, customers!$B$2:$B$1001, , 0, 1)</f>
        <v>Carney Clemencet</v>
      </c>
      <c r="G583" s="2" t="str">
        <f>IF(_xlfn.XLOOKUP(C583,customers!$A$2:$A$1001,customers!$C$2:$C$1001,,0,1)=0,"",_xlfn.XLOOKUP(C583,customers!$A$2:$A$1001,customers!$C$2:$C$1001,,0,1))</f>
        <v>cclemencetg5@weather.com</v>
      </c>
      <c r="H583" s="2" t="str">
        <f>_xlfn.XLOOKUP(C583, customers!$A$2:$A$1001, customers!$G$2:$G$1001, , 0, 1)</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Large</v>
      </c>
      <c r="P583" t="str">
        <f>_xlfn.XLOOKUP(Orders[[#This Row],[Customer ID]],customers!$A$1:$A$1001,customers!$I$1:$I$1001,"",0)</f>
        <v>Yes</v>
      </c>
    </row>
    <row r="584" spans="1:16" x14ac:dyDescent="0.3">
      <c r="A584" s="2" t="s">
        <v>3778</v>
      </c>
      <c r="B584" s="3">
        <v>44382</v>
      </c>
      <c r="C584" s="2" t="s">
        <v>3779</v>
      </c>
      <c r="D584" t="s">
        <v>6183</v>
      </c>
      <c r="E584" s="2">
        <v>5</v>
      </c>
      <c r="F584" t="str">
        <f>_xlfn.XLOOKUP(C584, customers!$A$2:$A$1001, customers!$B$2:$B$1001, , 0, 1)</f>
        <v>Russell Donet</v>
      </c>
      <c r="G584" s="2" t="str">
        <f>IF(_xlfn.XLOOKUP(C584,customers!$A$2:$A$1001,customers!$C$2:$C$1001,,0,1)=0,"",_xlfn.XLOOKUP(C584,customers!$A$2:$A$1001,customers!$C$2:$C$1001,,0,1))</f>
        <v>rdonetg6@oakley.com</v>
      </c>
      <c r="H584" s="2" t="str">
        <f>_xlfn.XLOOKUP(C584, customers!$A$2:$A$1001, customers!$G$2:$G$1001, , 0, 1)</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t="str">
        <f>_xlfn.XLOOKUP(C585, customers!$A$2:$A$1001, customers!$B$2:$B$1001, , 0, 1)</f>
        <v>Sidney Gawen</v>
      </c>
      <c r="G585" s="2" t="str">
        <f>IF(_xlfn.XLOOKUP(C585,customers!$A$2:$A$1001,customers!$C$2:$C$1001,,0,1)=0,"",_xlfn.XLOOKUP(C585,customers!$A$2:$A$1001,customers!$C$2:$C$1001,,0,1))</f>
        <v>sgaweng7@creativecommons.org</v>
      </c>
      <c r="H585" s="2" t="str">
        <f>_xlfn.XLOOKUP(C585, customers!$A$2:$A$1001, customers!$G$2:$G$1001, , 0, 1)</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Large</v>
      </c>
      <c r="P585" t="str">
        <f>_xlfn.XLOOKUP(Orders[[#This Row],[Customer ID]],customers!$A$1:$A$1001,customers!$I$1:$I$1001,"",0)</f>
        <v>Yes</v>
      </c>
    </row>
    <row r="586" spans="1:16" x14ac:dyDescent="0.3">
      <c r="A586" s="2" t="s">
        <v>3790</v>
      </c>
      <c r="B586" s="3">
        <v>44262</v>
      </c>
      <c r="C586" s="2" t="s">
        <v>3791</v>
      </c>
      <c r="D586" t="s">
        <v>6178</v>
      </c>
      <c r="E586" s="2">
        <v>6</v>
      </c>
      <c r="F586" t="str">
        <f>_xlfn.XLOOKUP(C586, customers!$A$2:$A$1001, customers!$B$2:$B$1001, , 0, 1)</f>
        <v>Rickey Readie</v>
      </c>
      <c r="G586" s="2" t="str">
        <f>IF(_xlfn.XLOOKUP(C586,customers!$A$2:$A$1001,customers!$C$2:$C$1001,,0,1)=0,"",_xlfn.XLOOKUP(C586,customers!$A$2:$A$1001,customers!$C$2:$C$1001,,0,1))</f>
        <v>rreadieg8@guardian.co.uk</v>
      </c>
      <c r="H586" s="2" t="str">
        <f>_xlfn.XLOOKUP(C586, customers!$A$2:$A$1001, customers!$G$2:$G$1001, , 0, 1)</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Large</v>
      </c>
      <c r="P586" t="str">
        <f>_xlfn.XLOOKUP(Orders[[#This Row],[Customer ID]],customers!$A$1:$A$1001,customers!$I$1:$I$1001,"",0)</f>
        <v>No</v>
      </c>
    </row>
    <row r="587" spans="1:16" x14ac:dyDescent="0.3">
      <c r="A587" s="2" t="s">
        <v>3796</v>
      </c>
      <c r="B587" s="3">
        <v>44505</v>
      </c>
      <c r="C587" s="2" t="s">
        <v>3840</v>
      </c>
      <c r="D587" t="s">
        <v>6139</v>
      </c>
      <c r="E587" s="2">
        <v>2</v>
      </c>
      <c r="F587" t="str">
        <f>_xlfn.XLOOKUP(C587, customers!$A$2:$A$1001, customers!$B$2:$B$1001, , 0, 1)</f>
        <v>Cody Verissimo</v>
      </c>
      <c r="G587" s="2" t="str">
        <f>IF(_xlfn.XLOOKUP(C587,customers!$A$2:$A$1001,customers!$C$2:$C$1001,,0,1)=0,"",_xlfn.XLOOKUP(C587,customers!$A$2:$A$1001,customers!$C$2:$C$1001,,0,1))</f>
        <v>cverissimogh@theglobeandmail.com</v>
      </c>
      <c r="H587" s="2" t="str">
        <f>_xlfn.XLOOKUP(C587, customers!$A$2:$A$1001, customers!$G$2:$G$1001, , 0, 1)</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t="str">
        <f>_xlfn.XLOOKUP(C588, customers!$A$2:$A$1001, customers!$B$2:$B$1001, , 0, 1)</f>
        <v>Zilvia Claisse</v>
      </c>
      <c r="G588" s="2" t="str">
        <f>IF(_xlfn.XLOOKUP(C588,customers!$A$2:$A$1001,customers!$C$2:$C$1001,,0,1)=0,"",_xlfn.XLOOKUP(C588,customers!$A$2:$A$1001,customers!$C$2:$C$1001,,0,1))</f>
        <v/>
      </c>
      <c r="H588" s="2" t="str">
        <f>_xlfn.XLOOKUP(C588, customers!$A$2:$A$1001, customers!$G$2:$G$1001, , 0, 1)</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Large</v>
      </c>
      <c r="P588" t="str">
        <f>_xlfn.XLOOKUP(Orders[[#This Row],[Customer ID]],customers!$A$1:$A$1001,customers!$I$1:$I$1001,"",0)</f>
        <v>No</v>
      </c>
    </row>
    <row r="589" spans="1:16" x14ac:dyDescent="0.3">
      <c r="A589" s="2" t="s">
        <v>3807</v>
      </c>
      <c r="B589" s="3">
        <v>44267</v>
      </c>
      <c r="C589" s="2" t="s">
        <v>3808</v>
      </c>
      <c r="D589" t="s">
        <v>6169</v>
      </c>
      <c r="E589" s="2">
        <v>1</v>
      </c>
      <c r="F589" t="str">
        <f>_xlfn.XLOOKUP(C589, customers!$A$2:$A$1001, customers!$B$2:$B$1001, , 0, 1)</f>
        <v>Bar O' Mahony</v>
      </c>
      <c r="G589" s="2" t="str">
        <f>IF(_xlfn.XLOOKUP(C589,customers!$A$2:$A$1001,customers!$C$2:$C$1001,,0,1)=0,"",_xlfn.XLOOKUP(C589,customers!$A$2:$A$1001,customers!$C$2:$C$1001,,0,1))</f>
        <v>bogb@elpais.com</v>
      </c>
      <c r="H589" s="2" t="str">
        <f>_xlfn.XLOOKUP(C589, customers!$A$2:$A$1001, customers!$G$2:$G$1001, , 0, 1)</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t="str">
        <f>_xlfn.XLOOKUP(C590, customers!$A$2:$A$1001, customers!$B$2:$B$1001, , 0, 1)</f>
        <v>Valenka Stansbury</v>
      </c>
      <c r="G590" s="2" t="str">
        <f>IF(_xlfn.XLOOKUP(C590,customers!$A$2:$A$1001,customers!$C$2:$C$1001,,0,1)=0,"",_xlfn.XLOOKUP(C590,customers!$A$2:$A$1001,customers!$C$2:$C$1001,,0,1))</f>
        <v>vstansburygc@unblog.fr</v>
      </c>
      <c r="H590" s="2" t="str">
        <f>_xlfn.XLOOKUP(C590, customers!$A$2:$A$1001, customers!$G$2:$G$1001, , 0, 1)</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t="str">
        <f>_xlfn.XLOOKUP(C591, customers!$A$2:$A$1001, customers!$B$2:$B$1001, , 0, 1)</f>
        <v>Daniel Heinonen</v>
      </c>
      <c r="G591" s="2" t="str">
        <f>IF(_xlfn.XLOOKUP(C591,customers!$A$2:$A$1001,customers!$C$2:$C$1001,,0,1)=0,"",_xlfn.XLOOKUP(C591,customers!$A$2:$A$1001,customers!$C$2:$C$1001,,0,1))</f>
        <v>dheinonengd@printfriendly.com</v>
      </c>
      <c r="H591" s="2" t="str">
        <f>_xlfn.XLOOKUP(C591, customers!$A$2:$A$1001, customers!$G$2:$G$1001, , 0, 1)</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Large</v>
      </c>
      <c r="P591" t="str">
        <f>_xlfn.XLOOKUP(Orders[[#This Row],[Customer ID]],customers!$A$1:$A$1001,customers!$I$1:$I$1001,"",0)</f>
        <v>No</v>
      </c>
    </row>
    <row r="592" spans="1:16" x14ac:dyDescent="0.3">
      <c r="A592" s="2" t="s">
        <v>3823</v>
      </c>
      <c r="B592" s="3">
        <v>43950</v>
      </c>
      <c r="C592" s="2" t="s">
        <v>3824</v>
      </c>
      <c r="D592" t="s">
        <v>6166</v>
      </c>
      <c r="E592" s="2">
        <v>2</v>
      </c>
      <c r="F592" t="str">
        <f>_xlfn.XLOOKUP(C592, customers!$A$2:$A$1001, customers!$B$2:$B$1001, , 0, 1)</f>
        <v>Jewelle Shenton</v>
      </c>
      <c r="G592" s="2" t="str">
        <f>IF(_xlfn.XLOOKUP(C592,customers!$A$2:$A$1001,customers!$C$2:$C$1001,,0,1)=0,"",_xlfn.XLOOKUP(C592,customers!$A$2:$A$1001,customers!$C$2:$C$1001,,0,1))</f>
        <v>jshentonge@google.com.hk</v>
      </c>
      <c r="H592" s="2" t="str">
        <f>_xlfn.XLOOKUP(C592, customers!$A$2:$A$1001, customers!$G$2:$G$1001, , 0, 1)</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t="str">
        <f>_xlfn.XLOOKUP(C593, customers!$A$2:$A$1001, customers!$B$2:$B$1001, , 0, 1)</f>
        <v>Jennifer Wilkisson</v>
      </c>
      <c r="G593" s="2" t="str">
        <f>IF(_xlfn.XLOOKUP(C593,customers!$A$2:$A$1001,customers!$C$2:$C$1001,,0,1)=0,"",_xlfn.XLOOKUP(C593,customers!$A$2:$A$1001,customers!$C$2:$C$1001,,0,1))</f>
        <v>jwilkissongf@nba.com</v>
      </c>
      <c r="H593" s="2" t="str">
        <f>_xlfn.XLOOKUP(C593, customers!$A$2:$A$1001, customers!$G$2:$G$1001, , 0, 1)</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t="str">
        <f>_xlfn.XLOOKUP(C594, customers!$A$2:$A$1001, customers!$B$2:$B$1001, , 0, 1)</f>
        <v>Kylie Mowat</v>
      </c>
      <c r="G594" s="2" t="str">
        <f>IF(_xlfn.XLOOKUP(C594,customers!$A$2:$A$1001,customers!$C$2:$C$1001,,0,1)=0,"",_xlfn.XLOOKUP(C594,customers!$A$2:$A$1001,customers!$C$2:$C$1001,,0,1))</f>
        <v/>
      </c>
      <c r="H594" s="2" t="str">
        <f>_xlfn.XLOOKUP(C594, customers!$A$2:$A$1001, customers!$G$2:$G$1001, , 0, 1)</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t="str">
        <f>_xlfn.XLOOKUP(C595, customers!$A$2:$A$1001, customers!$B$2:$B$1001, , 0, 1)</f>
        <v>Cody Verissimo</v>
      </c>
      <c r="G595" s="2" t="str">
        <f>IF(_xlfn.XLOOKUP(C595,customers!$A$2:$A$1001,customers!$C$2:$C$1001,,0,1)=0,"",_xlfn.XLOOKUP(C595,customers!$A$2:$A$1001,customers!$C$2:$C$1001,,0,1))</f>
        <v>cverissimogh@theglobeandmail.com</v>
      </c>
      <c r="H595" s="2" t="str">
        <f>_xlfn.XLOOKUP(C595, customers!$A$2:$A$1001, customers!$G$2:$G$1001, , 0, 1)</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t="str">
        <f>_xlfn.XLOOKUP(C596, customers!$A$2:$A$1001, customers!$B$2:$B$1001, , 0, 1)</f>
        <v>Gabriel Starcks</v>
      </c>
      <c r="G596" s="2" t="str">
        <f>IF(_xlfn.XLOOKUP(C596,customers!$A$2:$A$1001,customers!$C$2:$C$1001,,0,1)=0,"",_xlfn.XLOOKUP(C596,customers!$A$2:$A$1001,customers!$C$2:$C$1001,,0,1))</f>
        <v>gstarcksgi@abc.net.au</v>
      </c>
      <c r="H596" s="2" t="str">
        <f>_xlfn.XLOOKUP(C596, customers!$A$2:$A$1001, customers!$G$2:$G$1001, , 0, 1)</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Large</v>
      </c>
      <c r="P596" t="str">
        <f>_xlfn.XLOOKUP(Orders[[#This Row],[Customer ID]],customers!$A$1:$A$1001,customers!$I$1:$I$1001,"",0)</f>
        <v>No</v>
      </c>
    </row>
    <row r="597" spans="1:16" x14ac:dyDescent="0.3">
      <c r="A597" s="2" t="s">
        <v>3850</v>
      </c>
      <c r="B597" s="3">
        <v>44527</v>
      </c>
      <c r="C597" s="2" t="s">
        <v>3851</v>
      </c>
      <c r="D597" t="s">
        <v>6171</v>
      </c>
      <c r="E597" s="2">
        <v>1</v>
      </c>
      <c r="F597" t="str">
        <f>_xlfn.XLOOKUP(C597, customers!$A$2:$A$1001, customers!$B$2:$B$1001, , 0, 1)</f>
        <v>Darby Dummer</v>
      </c>
      <c r="G597" s="2" t="str">
        <f>IF(_xlfn.XLOOKUP(C597,customers!$A$2:$A$1001,customers!$C$2:$C$1001,,0,1)=0,"",_xlfn.XLOOKUP(C597,customers!$A$2:$A$1001,customers!$C$2:$C$1001,,0,1))</f>
        <v/>
      </c>
      <c r="H597" s="2" t="str">
        <f>_xlfn.XLOOKUP(C597, customers!$A$2:$A$1001, customers!$G$2:$G$1001, , 0, 1)</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Large</v>
      </c>
      <c r="P597" t="str">
        <f>_xlfn.XLOOKUP(Orders[[#This Row],[Customer ID]],customers!$A$1:$A$1001,customers!$I$1:$I$1001,"",0)</f>
        <v>No</v>
      </c>
    </row>
    <row r="598" spans="1:16" x14ac:dyDescent="0.3">
      <c r="A598" s="2" t="s">
        <v>3854</v>
      </c>
      <c r="B598" s="3">
        <v>44523</v>
      </c>
      <c r="C598" s="2" t="s">
        <v>3855</v>
      </c>
      <c r="D598" t="s">
        <v>6157</v>
      </c>
      <c r="E598" s="2">
        <v>5</v>
      </c>
      <c r="F598" t="str">
        <f>_xlfn.XLOOKUP(C598, customers!$A$2:$A$1001, customers!$B$2:$B$1001, , 0, 1)</f>
        <v>Kienan Scholard</v>
      </c>
      <c r="G598" s="2" t="str">
        <f>IF(_xlfn.XLOOKUP(C598,customers!$A$2:$A$1001,customers!$C$2:$C$1001,,0,1)=0,"",_xlfn.XLOOKUP(C598,customers!$A$2:$A$1001,customers!$C$2:$C$1001,,0,1))</f>
        <v>kscholardgk@sbwire.com</v>
      </c>
      <c r="H598" s="2" t="str">
        <f>_xlfn.XLOOKUP(C598, customers!$A$2:$A$1001, customers!$G$2:$G$1001, , 0, 1)</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t="str">
        <f>_xlfn.XLOOKUP(C599, customers!$A$2:$A$1001, customers!$B$2:$B$1001, , 0, 1)</f>
        <v>Bo Kindley</v>
      </c>
      <c r="G599" s="2" t="str">
        <f>IF(_xlfn.XLOOKUP(C599,customers!$A$2:$A$1001,customers!$C$2:$C$1001,,0,1)=0,"",_xlfn.XLOOKUP(C599,customers!$A$2:$A$1001,customers!$C$2:$C$1001,,0,1))</f>
        <v>bkindleygl@wikimedia.org</v>
      </c>
      <c r="H599" s="2" t="str">
        <f>_xlfn.XLOOKUP(C599, customers!$A$2:$A$1001, customers!$G$2:$G$1001, , 0, 1)</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Large</v>
      </c>
      <c r="P599" t="str">
        <f>_xlfn.XLOOKUP(Orders[[#This Row],[Customer ID]],customers!$A$1:$A$1001,customers!$I$1:$I$1001,"",0)</f>
        <v>Yes</v>
      </c>
    </row>
    <row r="600" spans="1:16" x14ac:dyDescent="0.3">
      <c r="A600" s="2" t="s">
        <v>3866</v>
      </c>
      <c r="B600" s="3">
        <v>43471</v>
      </c>
      <c r="C600" s="2" t="s">
        <v>3867</v>
      </c>
      <c r="D600" t="s">
        <v>6174</v>
      </c>
      <c r="E600" s="2">
        <v>4</v>
      </c>
      <c r="F600" t="str">
        <f>_xlfn.XLOOKUP(C600, customers!$A$2:$A$1001, customers!$B$2:$B$1001, , 0, 1)</f>
        <v>Krissie Hammett</v>
      </c>
      <c r="G600" s="2" t="str">
        <f>IF(_xlfn.XLOOKUP(C600,customers!$A$2:$A$1001,customers!$C$2:$C$1001,,0,1)=0,"",_xlfn.XLOOKUP(C600,customers!$A$2:$A$1001,customers!$C$2:$C$1001,,0,1))</f>
        <v>khammettgm@dmoz.org</v>
      </c>
      <c r="H600" s="2" t="str">
        <f>_xlfn.XLOOKUP(C600, customers!$A$2:$A$1001, customers!$G$2:$G$1001, , 0, 1)</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t="str">
        <f>_xlfn.XLOOKUP(C601, customers!$A$2:$A$1001, customers!$B$2:$B$1001, , 0, 1)</f>
        <v>Alisha Hulburt</v>
      </c>
      <c r="G601" s="2" t="str">
        <f>IF(_xlfn.XLOOKUP(C601,customers!$A$2:$A$1001,customers!$C$2:$C$1001,,0,1)=0,"",_xlfn.XLOOKUP(C601,customers!$A$2:$A$1001,customers!$C$2:$C$1001,,0,1))</f>
        <v>ahulburtgn@fda.gov</v>
      </c>
      <c r="H601" s="2" t="str">
        <f>_xlfn.XLOOKUP(C601, customers!$A$2:$A$1001, customers!$G$2:$G$1001, , 0, 1)</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t="str">
        <f>_xlfn.XLOOKUP(C602, customers!$A$2:$A$1001, customers!$B$2:$B$1001, , 0, 1)</f>
        <v>Peyter Lauritzen</v>
      </c>
      <c r="G602" s="2" t="str">
        <f>IF(_xlfn.XLOOKUP(C602,customers!$A$2:$A$1001,customers!$C$2:$C$1001,,0,1)=0,"",_xlfn.XLOOKUP(C602,customers!$A$2:$A$1001,customers!$C$2:$C$1001,,0,1))</f>
        <v>plauritzengo@photobucket.com</v>
      </c>
      <c r="H602" s="2" t="str">
        <f>_xlfn.XLOOKUP(C602, customers!$A$2:$A$1001, customers!$G$2:$G$1001, , 0, 1)</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t="str">
        <f>_xlfn.XLOOKUP(C603, customers!$A$2:$A$1001, customers!$B$2:$B$1001, , 0, 1)</f>
        <v>Aurelia Burgwin</v>
      </c>
      <c r="G603" s="2" t="str">
        <f>IF(_xlfn.XLOOKUP(C603,customers!$A$2:$A$1001,customers!$C$2:$C$1001,,0,1)=0,"",_xlfn.XLOOKUP(C603,customers!$A$2:$A$1001,customers!$C$2:$C$1001,,0,1))</f>
        <v>aburgwingp@redcross.org</v>
      </c>
      <c r="H603" s="2" t="str">
        <f>_xlfn.XLOOKUP(C603, customers!$A$2:$A$1001, customers!$G$2:$G$1001, , 0, 1)</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Large</v>
      </c>
      <c r="P603" t="str">
        <f>_xlfn.XLOOKUP(Orders[[#This Row],[Customer ID]],customers!$A$1:$A$1001,customers!$I$1:$I$1001,"",0)</f>
        <v>Yes</v>
      </c>
    </row>
    <row r="604" spans="1:16" x14ac:dyDescent="0.3">
      <c r="A604" s="2" t="s">
        <v>3889</v>
      </c>
      <c r="B604" s="3">
        <v>43603</v>
      </c>
      <c r="C604" s="2" t="s">
        <v>3890</v>
      </c>
      <c r="D604" t="s">
        <v>6184</v>
      </c>
      <c r="E604" s="2">
        <v>5</v>
      </c>
      <c r="F604" t="str">
        <f>_xlfn.XLOOKUP(C604, customers!$A$2:$A$1001, customers!$B$2:$B$1001, , 0, 1)</f>
        <v>Emalee Rolin</v>
      </c>
      <c r="G604" s="2" t="str">
        <f>IF(_xlfn.XLOOKUP(C604,customers!$A$2:$A$1001,customers!$C$2:$C$1001,,0,1)=0,"",_xlfn.XLOOKUP(C604,customers!$A$2:$A$1001,customers!$C$2:$C$1001,,0,1))</f>
        <v>erolingq@google.fr</v>
      </c>
      <c r="H604" s="2" t="str">
        <f>_xlfn.XLOOKUP(C604, customers!$A$2:$A$1001, customers!$G$2:$G$1001, , 0, 1)</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Large</v>
      </c>
      <c r="P604" t="str">
        <f>_xlfn.XLOOKUP(Orders[[#This Row],[Customer ID]],customers!$A$1:$A$1001,customers!$I$1:$I$1001,"",0)</f>
        <v>Yes</v>
      </c>
    </row>
    <row r="605" spans="1:16" x14ac:dyDescent="0.3">
      <c r="A605" s="2" t="s">
        <v>3895</v>
      </c>
      <c r="B605" s="3">
        <v>43660</v>
      </c>
      <c r="C605" s="2" t="s">
        <v>3896</v>
      </c>
      <c r="D605" t="s">
        <v>6174</v>
      </c>
      <c r="E605" s="2">
        <v>3</v>
      </c>
      <c r="F605" t="str">
        <f>_xlfn.XLOOKUP(C605, customers!$A$2:$A$1001, customers!$B$2:$B$1001, , 0, 1)</f>
        <v>Donavon Fowle</v>
      </c>
      <c r="G605" s="2" t="str">
        <f>IF(_xlfn.XLOOKUP(C605,customers!$A$2:$A$1001,customers!$C$2:$C$1001,,0,1)=0,"",_xlfn.XLOOKUP(C605,customers!$A$2:$A$1001,customers!$C$2:$C$1001,,0,1))</f>
        <v>dfowlegr@epa.gov</v>
      </c>
      <c r="H605" s="2" t="str">
        <f>_xlfn.XLOOKUP(C605, customers!$A$2:$A$1001, customers!$G$2:$G$1001, , 0, 1)</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t="str">
        <f>_xlfn.XLOOKUP(C606, customers!$A$2:$A$1001, customers!$B$2:$B$1001, , 0, 1)</f>
        <v>Jorge Bettison</v>
      </c>
      <c r="G606" s="2" t="str">
        <f>IF(_xlfn.XLOOKUP(C606,customers!$A$2:$A$1001,customers!$C$2:$C$1001,,0,1)=0,"",_xlfn.XLOOKUP(C606,customers!$A$2:$A$1001,customers!$C$2:$C$1001,,0,1))</f>
        <v/>
      </c>
      <c r="H606" s="2" t="str">
        <f>_xlfn.XLOOKUP(C606, customers!$A$2:$A$1001, customers!$G$2:$G$1001, , 0, 1)</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t="str">
        <f>_xlfn.XLOOKUP(C607, customers!$A$2:$A$1001, customers!$B$2:$B$1001, , 0, 1)</f>
        <v>Wang Powlesland</v>
      </c>
      <c r="G607" s="2" t="str">
        <f>IF(_xlfn.XLOOKUP(C607,customers!$A$2:$A$1001,customers!$C$2:$C$1001,,0,1)=0,"",_xlfn.XLOOKUP(C607,customers!$A$2:$A$1001,customers!$C$2:$C$1001,,0,1))</f>
        <v>wpowleslandgt@soundcloud.com</v>
      </c>
      <c r="H607" s="2" t="str">
        <f>_xlfn.XLOOKUP(C607, customers!$A$2:$A$1001, customers!$G$2:$G$1001, , 0, 1)</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Large</v>
      </c>
      <c r="P607" t="str">
        <f>_xlfn.XLOOKUP(Orders[[#This Row],[Customer ID]],customers!$A$1:$A$1001,customers!$I$1:$I$1001,"",0)</f>
        <v>Yes</v>
      </c>
    </row>
    <row r="608" spans="1:16" x14ac:dyDescent="0.3">
      <c r="A608" s="2" t="s">
        <v>3911</v>
      </c>
      <c r="B608" s="3">
        <v>44138</v>
      </c>
      <c r="C608" s="2" t="s">
        <v>3840</v>
      </c>
      <c r="D608" t="s">
        <v>6164</v>
      </c>
      <c r="E608" s="2">
        <v>3</v>
      </c>
      <c r="F608" t="str">
        <f>_xlfn.XLOOKUP(C608, customers!$A$2:$A$1001, customers!$B$2:$B$1001, , 0, 1)</f>
        <v>Cody Verissimo</v>
      </c>
      <c r="G608" s="2" t="str">
        <f>IF(_xlfn.XLOOKUP(C608,customers!$A$2:$A$1001,customers!$C$2:$C$1001,,0,1)=0,"",_xlfn.XLOOKUP(C608,customers!$A$2:$A$1001,customers!$C$2:$C$1001,,0,1))</f>
        <v>cverissimogh@theglobeandmail.com</v>
      </c>
      <c r="H608" s="2" t="str">
        <f>_xlfn.XLOOKUP(C608, customers!$A$2:$A$1001, customers!$G$2:$G$1001, , 0, 1)</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Large</v>
      </c>
      <c r="P608" t="str">
        <f>_xlfn.XLOOKUP(Orders[[#This Row],[Customer ID]],customers!$A$1:$A$1001,customers!$I$1:$I$1001,"",0)</f>
        <v>Yes</v>
      </c>
    </row>
    <row r="609" spans="1:16" x14ac:dyDescent="0.3">
      <c r="A609" s="2" t="s">
        <v>3917</v>
      </c>
      <c r="B609" s="3">
        <v>44640</v>
      </c>
      <c r="C609" s="2" t="s">
        <v>3918</v>
      </c>
      <c r="D609" t="s">
        <v>6153</v>
      </c>
      <c r="E609" s="2">
        <v>1</v>
      </c>
      <c r="F609" t="str">
        <f>_xlfn.XLOOKUP(C609, customers!$A$2:$A$1001, customers!$B$2:$B$1001, , 0, 1)</f>
        <v>Laurence Ellingham</v>
      </c>
      <c r="G609" s="2" t="str">
        <f>IF(_xlfn.XLOOKUP(C609,customers!$A$2:$A$1001,customers!$C$2:$C$1001,,0,1)=0,"",_xlfn.XLOOKUP(C609,customers!$A$2:$A$1001,customers!$C$2:$C$1001,,0,1))</f>
        <v>lellinghamgv@sciencedaily.com</v>
      </c>
      <c r="H609" s="2" t="str">
        <f>_xlfn.XLOOKUP(C609, customers!$A$2:$A$1001, customers!$G$2:$G$1001, , 0, 1)</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t="str">
        <f>_xlfn.XLOOKUP(C610, customers!$A$2:$A$1001, customers!$B$2:$B$1001, , 0, 1)</f>
        <v>Billy Neiland</v>
      </c>
      <c r="G610" s="2" t="str">
        <f>IF(_xlfn.XLOOKUP(C610,customers!$A$2:$A$1001,customers!$C$2:$C$1001,,0,1)=0,"",_xlfn.XLOOKUP(C610,customers!$A$2:$A$1001,customers!$C$2:$C$1001,,0,1))</f>
        <v/>
      </c>
      <c r="H610" s="2" t="str">
        <f>_xlfn.XLOOKUP(C610, customers!$A$2:$A$1001, customers!$G$2:$G$1001, , 0, 1)</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t="str">
        <f>_xlfn.XLOOKUP(C611, customers!$A$2:$A$1001, customers!$B$2:$B$1001, , 0, 1)</f>
        <v>Ancell Fendt</v>
      </c>
      <c r="G611" s="2" t="str">
        <f>IF(_xlfn.XLOOKUP(C611,customers!$A$2:$A$1001,customers!$C$2:$C$1001,,0,1)=0,"",_xlfn.XLOOKUP(C611,customers!$A$2:$A$1001,customers!$C$2:$C$1001,,0,1))</f>
        <v>afendtgx@forbes.com</v>
      </c>
      <c r="H611" s="2" t="str">
        <f>_xlfn.XLOOKUP(C611, customers!$A$2:$A$1001, customers!$G$2:$G$1001, , 0, 1)</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t="str">
        <f>_xlfn.XLOOKUP(C612, customers!$A$2:$A$1001, customers!$B$2:$B$1001, , 0, 1)</f>
        <v>Angelia Cleyburn</v>
      </c>
      <c r="G612" s="2" t="str">
        <f>IF(_xlfn.XLOOKUP(C612,customers!$A$2:$A$1001,customers!$C$2:$C$1001,,0,1)=0,"",_xlfn.XLOOKUP(C612,customers!$A$2:$A$1001,customers!$C$2:$C$1001,,0,1))</f>
        <v>acleyburngy@lycos.com</v>
      </c>
      <c r="H612" s="2" t="str">
        <f>_xlfn.XLOOKUP(C612, customers!$A$2:$A$1001, customers!$G$2:$G$1001, , 0, 1)</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t="str">
        <f>_xlfn.XLOOKUP(C613, customers!$A$2:$A$1001, customers!$B$2:$B$1001, , 0, 1)</f>
        <v>Temple Castiglione</v>
      </c>
      <c r="G613" s="2" t="str">
        <f>IF(_xlfn.XLOOKUP(C613,customers!$A$2:$A$1001,customers!$C$2:$C$1001,,0,1)=0,"",_xlfn.XLOOKUP(C613,customers!$A$2:$A$1001,customers!$C$2:$C$1001,,0,1))</f>
        <v>tcastiglionegz@xing.com</v>
      </c>
      <c r="H613" s="2" t="str">
        <f>_xlfn.XLOOKUP(C613, customers!$A$2:$A$1001, customers!$G$2:$G$1001, , 0, 1)</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Large</v>
      </c>
      <c r="P613" t="str">
        <f>_xlfn.XLOOKUP(Orders[[#This Row],[Customer ID]],customers!$A$1:$A$1001,customers!$I$1:$I$1001,"",0)</f>
        <v>No</v>
      </c>
    </row>
    <row r="614" spans="1:16" x14ac:dyDescent="0.3">
      <c r="A614" s="2" t="s">
        <v>3945</v>
      </c>
      <c r="B614" s="3">
        <v>43896</v>
      </c>
      <c r="C614" s="2" t="s">
        <v>3946</v>
      </c>
      <c r="D614" t="s">
        <v>6152</v>
      </c>
      <c r="E614" s="2">
        <v>4</v>
      </c>
      <c r="F614" t="str">
        <f>_xlfn.XLOOKUP(C614, customers!$A$2:$A$1001, customers!$B$2:$B$1001, , 0, 1)</f>
        <v>Betti Lacasa</v>
      </c>
      <c r="G614" s="2" t="str">
        <f>IF(_xlfn.XLOOKUP(C614,customers!$A$2:$A$1001,customers!$C$2:$C$1001,,0,1)=0,"",_xlfn.XLOOKUP(C614,customers!$A$2:$A$1001,customers!$C$2:$C$1001,,0,1))</f>
        <v/>
      </c>
      <c r="H614" s="2" t="str">
        <f>_xlfn.XLOOKUP(C614, customers!$A$2:$A$1001, customers!$G$2:$G$1001, , 0, 1)</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t="str">
        <f>_xlfn.XLOOKUP(C615, customers!$A$2:$A$1001, customers!$B$2:$B$1001, , 0, 1)</f>
        <v>Gunilla Lynch</v>
      </c>
      <c r="G615" s="2" t="str">
        <f>IF(_xlfn.XLOOKUP(C615,customers!$A$2:$A$1001,customers!$C$2:$C$1001,,0,1)=0,"",_xlfn.XLOOKUP(C615,customers!$A$2:$A$1001,customers!$C$2:$C$1001,,0,1))</f>
        <v/>
      </c>
      <c r="H615" s="2" t="str">
        <f>_xlfn.XLOOKUP(C615, customers!$A$2:$A$1001, customers!$G$2:$G$1001, , 0, 1)</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t="str">
        <f>_xlfn.XLOOKUP(C616, customers!$A$2:$A$1001, customers!$B$2:$B$1001, , 0, 1)</f>
        <v>Cody Verissimo</v>
      </c>
      <c r="G616" s="2" t="str">
        <f>IF(_xlfn.XLOOKUP(C616,customers!$A$2:$A$1001,customers!$C$2:$C$1001,,0,1)=0,"",_xlfn.XLOOKUP(C616,customers!$A$2:$A$1001,customers!$C$2:$C$1001,,0,1))</f>
        <v>cverissimogh@theglobeandmail.com</v>
      </c>
      <c r="H616" s="2" t="str">
        <f>_xlfn.XLOOKUP(C616, customers!$A$2:$A$1001, customers!$G$2:$G$1001, , 0, 1)</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t="str">
        <f>_xlfn.XLOOKUP(C617, customers!$A$2:$A$1001, customers!$B$2:$B$1001, , 0, 1)</f>
        <v>Shay Couronne</v>
      </c>
      <c r="G617" s="2" t="str">
        <f>IF(_xlfn.XLOOKUP(C617,customers!$A$2:$A$1001,customers!$C$2:$C$1001,,0,1)=0,"",_xlfn.XLOOKUP(C617,customers!$A$2:$A$1001,customers!$C$2:$C$1001,,0,1))</f>
        <v>scouronneh3@mozilla.org</v>
      </c>
      <c r="H617" s="2" t="str">
        <f>_xlfn.XLOOKUP(C617, customers!$A$2:$A$1001, customers!$G$2:$G$1001, , 0, 1)</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Large</v>
      </c>
      <c r="P617" t="str">
        <f>_xlfn.XLOOKUP(Orders[[#This Row],[Customer ID]],customers!$A$1:$A$1001,customers!$I$1:$I$1001,"",0)</f>
        <v>Yes</v>
      </c>
    </row>
    <row r="618" spans="1:16" x14ac:dyDescent="0.3">
      <c r="A618" s="2" t="s">
        <v>3966</v>
      </c>
      <c r="B618" s="3">
        <v>44271</v>
      </c>
      <c r="C618" s="2" t="s">
        <v>3967</v>
      </c>
      <c r="D618" t="s">
        <v>6166</v>
      </c>
      <c r="E618" s="2">
        <v>4</v>
      </c>
      <c r="F618" t="str">
        <f>_xlfn.XLOOKUP(C618, customers!$A$2:$A$1001, customers!$B$2:$B$1001, , 0, 1)</f>
        <v>Linus Flippelli</v>
      </c>
      <c r="G618" s="2" t="str">
        <f>IF(_xlfn.XLOOKUP(C618,customers!$A$2:$A$1001,customers!$C$2:$C$1001,,0,1)=0,"",_xlfn.XLOOKUP(C618,customers!$A$2:$A$1001,customers!$C$2:$C$1001,,0,1))</f>
        <v>lflippellih4@github.io</v>
      </c>
      <c r="H618" s="2" t="str">
        <f>_xlfn.XLOOKUP(C618, customers!$A$2:$A$1001, customers!$G$2:$G$1001, , 0, 1)</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t="str">
        <f>_xlfn.XLOOKUP(C619, customers!$A$2:$A$1001, customers!$B$2:$B$1001, , 0, 1)</f>
        <v>Rachelle Elizabeth</v>
      </c>
      <c r="G619" s="2" t="str">
        <f>IF(_xlfn.XLOOKUP(C619,customers!$A$2:$A$1001,customers!$C$2:$C$1001,,0,1)=0,"",_xlfn.XLOOKUP(C619,customers!$A$2:$A$1001,customers!$C$2:$C$1001,,0,1))</f>
        <v>relizabethh5@live.com</v>
      </c>
      <c r="H619" s="2" t="str">
        <f>_xlfn.XLOOKUP(C619, customers!$A$2:$A$1001, customers!$G$2:$G$1001, , 0, 1)</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t="str">
        <f>_xlfn.XLOOKUP(C620, customers!$A$2:$A$1001, customers!$B$2:$B$1001, , 0, 1)</f>
        <v>Innis Renhard</v>
      </c>
      <c r="G620" s="2" t="str">
        <f>IF(_xlfn.XLOOKUP(C620,customers!$A$2:$A$1001,customers!$C$2:$C$1001,,0,1)=0,"",_xlfn.XLOOKUP(C620,customers!$A$2:$A$1001,customers!$C$2:$C$1001,,0,1))</f>
        <v>irenhardh6@i2i.jp</v>
      </c>
      <c r="H620" s="2" t="str">
        <f>_xlfn.XLOOKUP(C620, customers!$A$2:$A$1001, customers!$G$2:$G$1001, , 0, 1)</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t="str">
        <f>_xlfn.XLOOKUP(C621, customers!$A$2:$A$1001, customers!$B$2:$B$1001, , 0, 1)</f>
        <v>Winne Roche</v>
      </c>
      <c r="G621" s="2" t="str">
        <f>IF(_xlfn.XLOOKUP(C621,customers!$A$2:$A$1001,customers!$C$2:$C$1001,,0,1)=0,"",_xlfn.XLOOKUP(C621,customers!$A$2:$A$1001,customers!$C$2:$C$1001,,0,1))</f>
        <v>wrocheh7@xinhuanet.com</v>
      </c>
      <c r="H621" s="2" t="str">
        <f>_xlfn.XLOOKUP(C621, customers!$A$2:$A$1001, customers!$G$2:$G$1001, , 0, 1)</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t="str">
        <f>_xlfn.XLOOKUP(C622, customers!$A$2:$A$1001, customers!$B$2:$B$1001, , 0, 1)</f>
        <v>Linn Alaway</v>
      </c>
      <c r="G622" s="2" t="str">
        <f>IF(_xlfn.XLOOKUP(C622,customers!$A$2:$A$1001,customers!$C$2:$C$1001,,0,1)=0,"",_xlfn.XLOOKUP(C622,customers!$A$2:$A$1001,customers!$C$2:$C$1001,,0,1))</f>
        <v>lalawayhh@weather.com</v>
      </c>
      <c r="H622" s="2" t="str">
        <f>_xlfn.XLOOKUP(C622, customers!$A$2:$A$1001, customers!$G$2:$G$1001, , 0, 1)</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t="str">
        <f>_xlfn.XLOOKUP(C623, customers!$A$2:$A$1001, customers!$B$2:$B$1001, , 0, 1)</f>
        <v>Cordy Odgaard</v>
      </c>
      <c r="G623" s="2" t="str">
        <f>IF(_xlfn.XLOOKUP(C623,customers!$A$2:$A$1001,customers!$C$2:$C$1001,,0,1)=0,"",_xlfn.XLOOKUP(C623,customers!$A$2:$A$1001,customers!$C$2:$C$1001,,0,1))</f>
        <v>codgaardh9@nsw.gov.au</v>
      </c>
      <c r="H623" s="2" t="str">
        <f>_xlfn.XLOOKUP(C623, customers!$A$2:$A$1001, customers!$G$2:$G$1001, , 0, 1)</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Large</v>
      </c>
      <c r="P623" t="str">
        <f>_xlfn.XLOOKUP(Orders[[#This Row],[Customer ID]],customers!$A$1:$A$1001,customers!$I$1:$I$1001,"",0)</f>
        <v>No</v>
      </c>
    </row>
    <row r="624" spans="1:16" x14ac:dyDescent="0.3">
      <c r="A624" s="2" t="s">
        <v>4002</v>
      </c>
      <c r="B624" s="3">
        <v>43527</v>
      </c>
      <c r="C624" s="2" t="s">
        <v>4003</v>
      </c>
      <c r="D624" t="s">
        <v>6181</v>
      </c>
      <c r="E624" s="2">
        <v>4</v>
      </c>
      <c r="F624" t="str">
        <f>_xlfn.XLOOKUP(C624, customers!$A$2:$A$1001, customers!$B$2:$B$1001, , 0, 1)</f>
        <v>Bertine Byrd</v>
      </c>
      <c r="G624" s="2" t="str">
        <f>IF(_xlfn.XLOOKUP(C624,customers!$A$2:$A$1001,customers!$C$2:$C$1001,,0,1)=0,"",_xlfn.XLOOKUP(C624,customers!$A$2:$A$1001,customers!$C$2:$C$1001,,0,1))</f>
        <v>bbyrdha@4shared.com</v>
      </c>
      <c r="H624" s="2" t="str">
        <f>_xlfn.XLOOKUP(C624, customers!$A$2:$A$1001, customers!$G$2:$G$1001, , 0, 1)</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t="str">
        <f>_xlfn.XLOOKUP(C625, customers!$A$2:$A$1001, customers!$B$2:$B$1001, , 0, 1)</f>
        <v>Nelie Garnson</v>
      </c>
      <c r="G625" s="2" t="str">
        <f>IF(_xlfn.XLOOKUP(C625,customers!$A$2:$A$1001,customers!$C$2:$C$1001,,0,1)=0,"",_xlfn.XLOOKUP(C625,customers!$A$2:$A$1001,customers!$C$2:$C$1001,,0,1))</f>
        <v/>
      </c>
      <c r="H625" s="2" t="str">
        <f>_xlfn.XLOOKUP(C625, customers!$A$2:$A$1001, customers!$G$2:$G$1001, , 0, 1)</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t="str">
        <f>_xlfn.XLOOKUP(C626, customers!$A$2:$A$1001, customers!$B$2:$B$1001, , 0, 1)</f>
        <v>Dianne Chardin</v>
      </c>
      <c r="G626" s="2" t="str">
        <f>IF(_xlfn.XLOOKUP(C626,customers!$A$2:$A$1001,customers!$C$2:$C$1001,,0,1)=0,"",_xlfn.XLOOKUP(C626,customers!$A$2:$A$1001,customers!$C$2:$C$1001,,0,1))</f>
        <v>dchardinhc@nhs.uk</v>
      </c>
      <c r="H626" s="2" t="str">
        <f>_xlfn.XLOOKUP(C626, customers!$A$2:$A$1001, customers!$G$2:$G$1001, , 0, 1)</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t="str">
        <f>_xlfn.XLOOKUP(C627, customers!$A$2:$A$1001, customers!$B$2:$B$1001, , 0, 1)</f>
        <v>Hailee Radbone</v>
      </c>
      <c r="G627" s="2" t="str">
        <f>IF(_xlfn.XLOOKUP(C627,customers!$A$2:$A$1001,customers!$C$2:$C$1001,,0,1)=0,"",_xlfn.XLOOKUP(C627,customers!$A$2:$A$1001,customers!$C$2:$C$1001,,0,1))</f>
        <v>hradbonehd@newsvine.com</v>
      </c>
      <c r="H627" s="2" t="str">
        <f>_xlfn.XLOOKUP(C627, customers!$A$2:$A$1001, customers!$G$2:$G$1001, , 0, 1)</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Large</v>
      </c>
      <c r="P627" t="str">
        <f>_xlfn.XLOOKUP(Orders[[#This Row],[Customer ID]],customers!$A$1:$A$1001,customers!$I$1:$I$1001,"",0)</f>
        <v>No</v>
      </c>
    </row>
    <row r="628" spans="1:16" x14ac:dyDescent="0.3">
      <c r="A628" s="2" t="s">
        <v>4023</v>
      </c>
      <c r="B628" s="3">
        <v>43526</v>
      </c>
      <c r="C628" s="2" t="s">
        <v>4024</v>
      </c>
      <c r="D628" t="s">
        <v>6175</v>
      </c>
      <c r="E628" s="2">
        <v>3</v>
      </c>
      <c r="F628" t="str">
        <f>_xlfn.XLOOKUP(C628, customers!$A$2:$A$1001, customers!$B$2:$B$1001, , 0, 1)</f>
        <v>Wallis Bernth</v>
      </c>
      <c r="G628" s="2" t="str">
        <f>IF(_xlfn.XLOOKUP(C628,customers!$A$2:$A$1001,customers!$C$2:$C$1001,,0,1)=0,"",_xlfn.XLOOKUP(C628,customers!$A$2:$A$1001,customers!$C$2:$C$1001,,0,1))</f>
        <v>wbernthhe@miitbeian.gov.cn</v>
      </c>
      <c r="H628" s="2" t="str">
        <f>_xlfn.XLOOKUP(C628, customers!$A$2:$A$1001, customers!$G$2:$G$1001, , 0, 1)</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t="str">
        <f>_xlfn.XLOOKUP(C629, customers!$A$2:$A$1001, customers!$B$2:$B$1001, , 0, 1)</f>
        <v>Byron Acarson</v>
      </c>
      <c r="G629" s="2" t="str">
        <f>IF(_xlfn.XLOOKUP(C629,customers!$A$2:$A$1001,customers!$C$2:$C$1001,,0,1)=0,"",_xlfn.XLOOKUP(C629,customers!$A$2:$A$1001,customers!$C$2:$C$1001,,0,1))</f>
        <v>bacarsonhf@cnn.com</v>
      </c>
      <c r="H629" s="2" t="str">
        <f>_xlfn.XLOOKUP(C629, customers!$A$2:$A$1001, customers!$G$2:$G$1001, , 0, 1)</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t="str">
        <f>_xlfn.XLOOKUP(C630, customers!$A$2:$A$1001, customers!$B$2:$B$1001, , 0, 1)</f>
        <v>Faunie Brigham</v>
      </c>
      <c r="G630" s="2" t="str">
        <f>IF(_xlfn.XLOOKUP(C630,customers!$A$2:$A$1001,customers!$C$2:$C$1001,,0,1)=0,"",_xlfn.XLOOKUP(C630,customers!$A$2:$A$1001,customers!$C$2:$C$1001,,0,1))</f>
        <v>fbrighamhg@blog.com</v>
      </c>
      <c r="H630" s="2" t="str">
        <f>_xlfn.XLOOKUP(C630, customers!$A$2:$A$1001, customers!$G$2:$G$1001, , 0, 1)</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Large</v>
      </c>
      <c r="P630" t="str">
        <f>_xlfn.XLOOKUP(Orders[[#This Row],[Customer ID]],customers!$A$1:$A$1001,customers!$I$1:$I$1001,"",0)</f>
        <v>Yes</v>
      </c>
    </row>
    <row r="631" spans="1:16" x14ac:dyDescent="0.3">
      <c r="A631" s="2" t="s">
        <v>4035</v>
      </c>
      <c r="B631" s="3">
        <v>44680</v>
      </c>
      <c r="C631" s="2" t="s">
        <v>4036</v>
      </c>
      <c r="D631" t="s">
        <v>6169</v>
      </c>
      <c r="E631" s="2">
        <v>4</v>
      </c>
      <c r="F631" t="str">
        <f>_xlfn.XLOOKUP(C631, customers!$A$2:$A$1001, customers!$B$2:$B$1001, , 0, 1)</f>
        <v>Faunie Brigham</v>
      </c>
      <c r="G631" s="2" t="str">
        <f>IF(_xlfn.XLOOKUP(C631,customers!$A$2:$A$1001,customers!$C$2:$C$1001,,0,1)=0,"",_xlfn.XLOOKUP(C631,customers!$A$2:$A$1001,customers!$C$2:$C$1001,,0,1))</f>
        <v>fbrighamhg@blog.com</v>
      </c>
      <c r="H631" s="2" t="str">
        <f>_xlfn.XLOOKUP(C631, customers!$A$2:$A$1001, customers!$G$2:$G$1001, , 0, 1)</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t="str">
        <f>_xlfn.XLOOKUP(C632, customers!$A$2:$A$1001, customers!$B$2:$B$1001, , 0, 1)</f>
        <v>Faunie Brigham</v>
      </c>
      <c r="G632" s="2" t="str">
        <f>IF(_xlfn.XLOOKUP(C632,customers!$A$2:$A$1001,customers!$C$2:$C$1001,,0,1)=0,"",_xlfn.XLOOKUP(C632,customers!$A$2:$A$1001,customers!$C$2:$C$1001,,0,1))</f>
        <v>fbrighamhg@blog.com</v>
      </c>
      <c r="H632" s="2" t="str">
        <f>_xlfn.XLOOKUP(C632, customers!$A$2:$A$1001, customers!$G$2:$G$1001, , 0, 1)</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t="str">
        <f>_xlfn.XLOOKUP(C633, customers!$A$2:$A$1001, customers!$B$2:$B$1001, , 0, 1)</f>
        <v>Faunie Brigham</v>
      </c>
      <c r="G633" s="2" t="str">
        <f>IF(_xlfn.XLOOKUP(C633,customers!$A$2:$A$1001,customers!$C$2:$C$1001,,0,1)=0,"",_xlfn.XLOOKUP(C633,customers!$A$2:$A$1001,customers!$C$2:$C$1001,,0,1))</f>
        <v>fbrighamhg@blog.com</v>
      </c>
      <c r="H633" s="2" t="str">
        <f>_xlfn.XLOOKUP(C633, customers!$A$2:$A$1001, customers!$G$2:$G$1001, , 0, 1)</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t="str">
        <f>_xlfn.XLOOKUP(C634, customers!$A$2:$A$1001, customers!$B$2:$B$1001, , 0, 1)</f>
        <v>Marjorie Yoxen</v>
      </c>
      <c r="G634" s="2" t="str">
        <f>IF(_xlfn.XLOOKUP(C634,customers!$A$2:$A$1001,customers!$C$2:$C$1001,,0,1)=0,"",_xlfn.XLOOKUP(C634,customers!$A$2:$A$1001,customers!$C$2:$C$1001,,0,1))</f>
        <v>myoxenhk@google.com</v>
      </c>
      <c r="H634" s="2" t="str">
        <f>_xlfn.XLOOKUP(C634, customers!$A$2:$A$1001, customers!$G$2:$G$1001, , 0, 1)</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Large</v>
      </c>
      <c r="P634" t="str">
        <f>_xlfn.XLOOKUP(Orders[[#This Row],[Customer ID]],customers!$A$1:$A$1001,customers!$I$1:$I$1001,"",0)</f>
        <v>No</v>
      </c>
    </row>
    <row r="635" spans="1:16" x14ac:dyDescent="0.3">
      <c r="A635" s="2" t="s">
        <v>4062</v>
      </c>
      <c r="B635" s="3">
        <v>43820</v>
      </c>
      <c r="C635" s="2" t="s">
        <v>4063</v>
      </c>
      <c r="D635" t="s">
        <v>6179</v>
      </c>
      <c r="E635" s="2">
        <v>4</v>
      </c>
      <c r="F635" t="str">
        <f>_xlfn.XLOOKUP(C635, customers!$A$2:$A$1001, customers!$B$2:$B$1001, , 0, 1)</f>
        <v>Gaspar McGavin</v>
      </c>
      <c r="G635" s="2" t="str">
        <f>IF(_xlfn.XLOOKUP(C635,customers!$A$2:$A$1001,customers!$C$2:$C$1001,,0,1)=0,"",_xlfn.XLOOKUP(C635,customers!$A$2:$A$1001,customers!$C$2:$C$1001,,0,1))</f>
        <v>gmcgavinhl@histats.com</v>
      </c>
      <c r="H635" s="2" t="str">
        <f>_xlfn.XLOOKUP(C635, customers!$A$2:$A$1001, customers!$G$2:$G$1001, , 0, 1)</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Large</v>
      </c>
      <c r="P635" t="str">
        <f>_xlfn.XLOOKUP(Orders[[#This Row],[Customer ID]],customers!$A$1:$A$1001,customers!$I$1:$I$1001,"",0)</f>
        <v>No</v>
      </c>
    </row>
    <row r="636" spans="1:16" x14ac:dyDescent="0.3">
      <c r="A636" s="2" t="s">
        <v>4068</v>
      </c>
      <c r="B636" s="3">
        <v>43940</v>
      </c>
      <c r="C636" s="2" t="s">
        <v>4069</v>
      </c>
      <c r="D636" t="s">
        <v>6162</v>
      </c>
      <c r="E636" s="2">
        <v>3</v>
      </c>
      <c r="F636" t="str">
        <f>_xlfn.XLOOKUP(C636, customers!$A$2:$A$1001, customers!$B$2:$B$1001, , 0, 1)</f>
        <v>Lindy Uttermare</v>
      </c>
      <c r="G636" s="2" t="str">
        <f>IF(_xlfn.XLOOKUP(C636,customers!$A$2:$A$1001,customers!$C$2:$C$1001,,0,1)=0,"",_xlfn.XLOOKUP(C636,customers!$A$2:$A$1001,customers!$C$2:$C$1001,,0,1))</f>
        <v>luttermarehm@engadget.com</v>
      </c>
      <c r="H636" s="2" t="str">
        <f>_xlfn.XLOOKUP(C636, customers!$A$2:$A$1001, customers!$G$2:$G$1001, , 0, 1)</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t="str">
        <f>_xlfn.XLOOKUP(C637, customers!$A$2:$A$1001, customers!$B$2:$B$1001, , 0, 1)</f>
        <v>Eal D'Ambrogio</v>
      </c>
      <c r="G637" s="2" t="str">
        <f>IF(_xlfn.XLOOKUP(C637,customers!$A$2:$A$1001,customers!$C$2:$C$1001,,0,1)=0,"",_xlfn.XLOOKUP(C637,customers!$A$2:$A$1001,customers!$C$2:$C$1001,,0,1))</f>
        <v>edambrogiohn@techcrunch.com</v>
      </c>
      <c r="H637" s="2" t="str">
        <f>_xlfn.XLOOKUP(C637, customers!$A$2:$A$1001, customers!$G$2:$G$1001, , 0, 1)</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Large</v>
      </c>
      <c r="P637" t="str">
        <f>_xlfn.XLOOKUP(Orders[[#This Row],[Customer ID]],customers!$A$1:$A$1001,customers!$I$1:$I$1001,"",0)</f>
        <v>Yes</v>
      </c>
    </row>
    <row r="638" spans="1:16" x14ac:dyDescent="0.3">
      <c r="A638" s="2" t="s">
        <v>4080</v>
      </c>
      <c r="B638" s="3">
        <v>43487</v>
      </c>
      <c r="C638" s="2" t="s">
        <v>4081</v>
      </c>
      <c r="D638" t="s">
        <v>6170</v>
      </c>
      <c r="E638" s="2">
        <v>6</v>
      </c>
      <c r="F638" t="str">
        <f>_xlfn.XLOOKUP(C638, customers!$A$2:$A$1001, customers!$B$2:$B$1001, , 0, 1)</f>
        <v>Carolee Winchcombe</v>
      </c>
      <c r="G638" s="2" t="str">
        <f>IF(_xlfn.XLOOKUP(C638,customers!$A$2:$A$1001,customers!$C$2:$C$1001,,0,1)=0,"",_xlfn.XLOOKUP(C638,customers!$A$2:$A$1001,customers!$C$2:$C$1001,,0,1))</f>
        <v>cwinchcombeho@jiathis.com</v>
      </c>
      <c r="H638" s="2" t="str">
        <f>_xlfn.XLOOKUP(C638, customers!$A$2:$A$1001, customers!$G$2:$G$1001, , 0, 1)</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Large</v>
      </c>
      <c r="P638" t="str">
        <f>_xlfn.XLOOKUP(Orders[[#This Row],[Customer ID]],customers!$A$1:$A$1001,customers!$I$1:$I$1001,"",0)</f>
        <v>Yes</v>
      </c>
    </row>
    <row r="639" spans="1:16" x14ac:dyDescent="0.3">
      <c r="A639" s="2" t="s">
        <v>4086</v>
      </c>
      <c r="B639" s="3">
        <v>43889</v>
      </c>
      <c r="C639" s="2" t="s">
        <v>4087</v>
      </c>
      <c r="D639" t="s">
        <v>6166</v>
      </c>
      <c r="E639" s="2">
        <v>1</v>
      </c>
      <c r="F639" t="str">
        <f>_xlfn.XLOOKUP(C639, customers!$A$2:$A$1001, customers!$B$2:$B$1001, , 0, 1)</f>
        <v>Benedikta Paumier</v>
      </c>
      <c r="G639" s="2" t="str">
        <f>IF(_xlfn.XLOOKUP(C639,customers!$A$2:$A$1001,customers!$C$2:$C$1001,,0,1)=0,"",_xlfn.XLOOKUP(C639,customers!$A$2:$A$1001,customers!$C$2:$C$1001,,0,1))</f>
        <v>bpaumierhp@umn.edu</v>
      </c>
      <c r="H639" s="2" t="str">
        <f>_xlfn.XLOOKUP(C639, customers!$A$2:$A$1001, customers!$G$2:$G$1001, , 0, 1)</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t="str">
        <f>_xlfn.XLOOKUP(C640, customers!$A$2:$A$1001, customers!$B$2:$B$1001, , 0, 1)</f>
        <v>Neville Piatto</v>
      </c>
      <c r="G640" s="2" t="str">
        <f>IF(_xlfn.XLOOKUP(C640,customers!$A$2:$A$1001,customers!$C$2:$C$1001,,0,1)=0,"",_xlfn.XLOOKUP(C640,customers!$A$2:$A$1001,customers!$C$2:$C$1001,,0,1))</f>
        <v/>
      </c>
      <c r="H640" s="2" t="str">
        <f>_xlfn.XLOOKUP(C640, customers!$A$2:$A$1001, customers!$G$2:$G$1001, , 0, 1)</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t="str">
        <f>_xlfn.XLOOKUP(C641, customers!$A$2:$A$1001, customers!$B$2:$B$1001, , 0, 1)</f>
        <v>Jeno Capey</v>
      </c>
      <c r="G641" s="2" t="str">
        <f>IF(_xlfn.XLOOKUP(C641,customers!$A$2:$A$1001,customers!$C$2:$C$1001,,0,1)=0,"",_xlfn.XLOOKUP(C641,customers!$A$2:$A$1001,customers!$C$2:$C$1001,,0,1))</f>
        <v>jcapeyhr@bravesites.com</v>
      </c>
      <c r="H641" s="2" t="str">
        <f>_xlfn.XLOOKUP(C641, customers!$A$2:$A$1001, customers!$G$2:$G$1001, , 0, 1)</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t="str">
        <f>_xlfn.XLOOKUP(C642, customers!$A$2:$A$1001, customers!$B$2:$B$1001, , 0, 1)</f>
        <v>Tuckie Mathonnet</v>
      </c>
      <c r="G642" s="2" t="str">
        <f>IF(_xlfn.XLOOKUP(C642,customers!$A$2:$A$1001,customers!$C$2:$C$1001,,0,1)=0,"",_xlfn.XLOOKUP(C642,customers!$A$2:$A$1001,customers!$C$2:$C$1001,,0,1))</f>
        <v>tmathonneti0@google.co.jp</v>
      </c>
      <c r="H642" s="2" t="str">
        <f>_xlfn.XLOOKUP(C642, customers!$A$2:$A$1001, customers!$G$2:$G$1001, , 0, 1)</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Large</v>
      </c>
      <c r="P642" t="str">
        <f>_xlfn.XLOOKUP(Orders[[#This Row],[Customer ID]],customers!$A$1:$A$1001,customers!$I$1:$I$1001,"",0)</f>
        <v>No</v>
      </c>
    </row>
    <row r="643" spans="1:16" x14ac:dyDescent="0.3">
      <c r="A643" s="2" t="s">
        <v>4109</v>
      </c>
      <c r="B643" s="3">
        <v>44448</v>
      </c>
      <c r="C643" s="2" t="s">
        <v>4110</v>
      </c>
      <c r="D643" t="s">
        <v>6179</v>
      </c>
      <c r="E643" s="2">
        <v>3</v>
      </c>
      <c r="F643" t="str">
        <f>_xlfn.XLOOKUP(C643, customers!$A$2:$A$1001, customers!$B$2:$B$1001, , 0, 1)</f>
        <v>Yardley Basill</v>
      </c>
      <c r="G643" s="2" t="str">
        <f>IF(_xlfn.XLOOKUP(C643,customers!$A$2:$A$1001,customers!$C$2:$C$1001,,0,1)=0,"",_xlfn.XLOOKUP(C643,customers!$A$2:$A$1001,customers!$C$2:$C$1001,,0,1))</f>
        <v>ybasillht@theguardian.com</v>
      </c>
      <c r="H643" s="2" t="str">
        <f>_xlfn.XLOOKUP(C643, customers!$A$2:$A$1001, customers!$G$2:$G$1001, , 0, 1)</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IF(J643="M","Medium",IF(J643="L","Large",IF(J643="D","Dark","")))</f>
        <v>Large</v>
      </c>
      <c r="P643" t="str">
        <f>_xlfn.XLOOKUP(Orders[[#This Row],[Customer ID]],customers!$A$1:$A$1001,customers!$I$1:$I$1001,"",0)</f>
        <v>Yes</v>
      </c>
    </row>
    <row r="644" spans="1:16" x14ac:dyDescent="0.3">
      <c r="A644" s="2" t="s">
        <v>4115</v>
      </c>
      <c r="B644" s="3">
        <v>43880</v>
      </c>
      <c r="C644" s="2" t="s">
        <v>4116</v>
      </c>
      <c r="D644" t="s">
        <v>6156</v>
      </c>
      <c r="E644" s="2">
        <v>2</v>
      </c>
      <c r="F644" t="str">
        <f>_xlfn.XLOOKUP(C644, customers!$A$2:$A$1001, customers!$B$2:$B$1001, , 0, 1)</f>
        <v>Maggy Baistow</v>
      </c>
      <c r="G644" s="2" t="str">
        <f>IF(_xlfn.XLOOKUP(C644,customers!$A$2:$A$1001,customers!$C$2:$C$1001,,0,1)=0,"",_xlfn.XLOOKUP(C644,customers!$A$2:$A$1001,customers!$C$2:$C$1001,,0,1))</f>
        <v>mbaistowhu@i2i.jp</v>
      </c>
      <c r="H644" s="2" t="str">
        <f>_xlfn.XLOOKUP(C644, customers!$A$2:$A$1001, customers!$G$2:$G$1001, , 0, 1)</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t="str">
        <f>_xlfn.XLOOKUP(C645, customers!$A$2:$A$1001, customers!$B$2:$B$1001, , 0, 1)</f>
        <v>Courtney Pallant</v>
      </c>
      <c r="G645" s="2" t="str">
        <f>IF(_xlfn.XLOOKUP(C645,customers!$A$2:$A$1001,customers!$C$2:$C$1001,,0,1)=0,"",_xlfn.XLOOKUP(C645,customers!$A$2:$A$1001,customers!$C$2:$C$1001,,0,1))</f>
        <v>cpallanthv@typepad.com</v>
      </c>
      <c r="H645" s="2" t="str">
        <f>_xlfn.XLOOKUP(C645, customers!$A$2:$A$1001, customers!$G$2:$G$1001, , 0, 1)</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Large</v>
      </c>
      <c r="P645" t="str">
        <f>_xlfn.XLOOKUP(Orders[[#This Row],[Customer ID]],customers!$A$1:$A$1001,customers!$I$1:$I$1001,"",0)</f>
        <v>Yes</v>
      </c>
    </row>
    <row r="646" spans="1:16" x14ac:dyDescent="0.3">
      <c r="A646" s="2" t="s">
        <v>4128</v>
      </c>
      <c r="B646" s="3">
        <v>44694</v>
      </c>
      <c r="C646" s="2" t="s">
        <v>4129</v>
      </c>
      <c r="D646" t="s">
        <v>6149</v>
      </c>
      <c r="E646" s="2">
        <v>2</v>
      </c>
      <c r="F646" t="str">
        <f>_xlfn.XLOOKUP(C646, customers!$A$2:$A$1001, customers!$B$2:$B$1001, , 0, 1)</f>
        <v>Marne Mingey</v>
      </c>
      <c r="G646" s="2" t="str">
        <f>IF(_xlfn.XLOOKUP(C646,customers!$A$2:$A$1001,customers!$C$2:$C$1001,,0,1)=0,"",_xlfn.XLOOKUP(C646,customers!$A$2:$A$1001,customers!$C$2:$C$1001,,0,1))</f>
        <v/>
      </c>
      <c r="H646" s="2" t="str">
        <f>_xlfn.XLOOKUP(C646, customers!$A$2:$A$1001, customers!$G$2:$G$1001, , 0, 1)</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t="str">
        <f>_xlfn.XLOOKUP(C647, customers!$A$2:$A$1001, customers!$B$2:$B$1001, , 0, 1)</f>
        <v>Denny O' Ronan</v>
      </c>
      <c r="G647" s="2" t="str">
        <f>IF(_xlfn.XLOOKUP(C647,customers!$A$2:$A$1001,customers!$C$2:$C$1001,,0,1)=0,"",_xlfn.XLOOKUP(C647,customers!$A$2:$A$1001,customers!$C$2:$C$1001,,0,1))</f>
        <v>dohx@redcross.org</v>
      </c>
      <c r="H647" s="2" t="str">
        <f>_xlfn.XLOOKUP(C647, customers!$A$2:$A$1001, customers!$G$2:$G$1001, , 0, 1)</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t="str">
        <f>_xlfn.XLOOKUP(C648, customers!$A$2:$A$1001, customers!$B$2:$B$1001, , 0, 1)</f>
        <v>Dottie Rallin</v>
      </c>
      <c r="G648" s="2" t="str">
        <f>IF(_xlfn.XLOOKUP(C648,customers!$A$2:$A$1001,customers!$C$2:$C$1001,,0,1)=0,"",_xlfn.XLOOKUP(C648,customers!$A$2:$A$1001,customers!$C$2:$C$1001,,0,1))</f>
        <v>drallinhy@howstuffworks.com</v>
      </c>
      <c r="H648" s="2" t="str">
        <f>_xlfn.XLOOKUP(C648, customers!$A$2:$A$1001, customers!$G$2:$G$1001, , 0, 1)</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t="str">
        <f>_xlfn.XLOOKUP(C649, customers!$A$2:$A$1001, customers!$B$2:$B$1001, , 0, 1)</f>
        <v>Ardith Chill</v>
      </c>
      <c r="G649" s="2" t="str">
        <f>IF(_xlfn.XLOOKUP(C649,customers!$A$2:$A$1001,customers!$C$2:$C$1001,,0,1)=0,"",_xlfn.XLOOKUP(C649,customers!$A$2:$A$1001,customers!$C$2:$C$1001,,0,1))</f>
        <v>achillhz@epa.gov</v>
      </c>
      <c r="H649" s="2" t="str">
        <f>_xlfn.XLOOKUP(C649, customers!$A$2:$A$1001, customers!$G$2:$G$1001, , 0, 1)</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Large</v>
      </c>
      <c r="P649" t="str">
        <f>_xlfn.XLOOKUP(Orders[[#This Row],[Customer ID]],customers!$A$1:$A$1001,customers!$I$1:$I$1001,"",0)</f>
        <v>Yes</v>
      </c>
    </row>
    <row r="650" spans="1:16" x14ac:dyDescent="0.3">
      <c r="A650" s="2" t="s">
        <v>4151</v>
      </c>
      <c r="B650" s="3">
        <v>43884</v>
      </c>
      <c r="C650" s="2" t="s">
        <v>4152</v>
      </c>
      <c r="D650" t="s">
        <v>6163</v>
      </c>
      <c r="E650" s="2">
        <v>6</v>
      </c>
      <c r="F650" t="str">
        <f>_xlfn.XLOOKUP(C650, customers!$A$2:$A$1001, customers!$B$2:$B$1001, , 0, 1)</f>
        <v>Tuckie Mathonnet</v>
      </c>
      <c r="G650" s="2" t="str">
        <f>IF(_xlfn.XLOOKUP(C650,customers!$A$2:$A$1001,customers!$C$2:$C$1001,,0,1)=0,"",_xlfn.XLOOKUP(C650,customers!$A$2:$A$1001,customers!$C$2:$C$1001,,0,1))</f>
        <v>tmathonneti0@google.co.jp</v>
      </c>
      <c r="H650" s="2" t="str">
        <f>_xlfn.XLOOKUP(C650, customers!$A$2:$A$1001, customers!$G$2:$G$1001, , 0, 1)</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t="str">
        <f>_xlfn.XLOOKUP(C651, customers!$A$2:$A$1001, customers!$B$2:$B$1001, , 0, 1)</f>
        <v>Charmane Denys</v>
      </c>
      <c r="G651" s="2" t="str">
        <f>IF(_xlfn.XLOOKUP(C651,customers!$A$2:$A$1001,customers!$C$2:$C$1001,,0,1)=0,"",_xlfn.XLOOKUP(C651,customers!$A$2:$A$1001,customers!$C$2:$C$1001,,0,1))</f>
        <v>cdenysi1@is.gd</v>
      </c>
      <c r="H651" s="2" t="str">
        <f>_xlfn.XLOOKUP(C651, customers!$A$2:$A$1001, customers!$G$2:$G$1001, , 0, 1)</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Large</v>
      </c>
      <c r="P651" t="str">
        <f>_xlfn.XLOOKUP(Orders[[#This Row],[Customer ID]],customers!$A$1:$A$1001,customers!$I$1:$I$1001,"",0)</f>
        <v>No</v>
      </c>
    </row>
    <row r="652" spans="1:16" x14ac:dyDescent="0.3">
      <c r="A652" s="2" t="s">
        <v>4163</v>
      </c>
      <c r="B652" s="3">
        <v>43507</v>
      </c>
      <c r="C652" s="2" t="s">
        <v>4164</v>
      </c>
      <c r="D652" t="s">
        <v>6172</v>
      </c>
      <c r="E652" s="2">
        <v>1</v>
      </c>
      <c r="F652" t="str">
        <f>_xlfn.XLOOKUP(C652, customers!$A$2:$A$1001, customers!$B$2:$B$1001, , 0, 1)</f>
        <v>Cecily Stebbings</v>
      </c>
      <c r="G652" s="2" t="str">
        <f>IF(_xlfn.XLOOKUP(C652,customers!$A$2:$A$1001,customers!$C$2:$C$1001,,0,1)=0,"",_xlfn.XLOOKUP(C652,customers!$A$2:$A$1001,customers!$C$2:$C$1001,,0,1))</f>
        <v>cstebbingsi2@drupal.org</v>
      </c>
      <c r="H652" s="2" t="str">
        <f>_xlfn.XLOOKUP(C652, customers!$A$2:$A$1001, customers!$G$2:$G$1001, , 0, 1)</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t="str">
        <f>_xlfn.XLOOKUP(C653, customers!$A$2:$A$1001, customers!$B$2:$B$1001, , 0, 1)</f>
        <v>Giana Tonnesen</v>
      </c>
      <c r="G653" s="2" t="str">
        <f>IF(_xlfn.XLOOKUP(C653,customers!$A$2:$A$1001,customers!$C$2:$C$1001,,0,1)=0,"",_xlfn.XLOOKUP(C653,customers!$A$2:$A$1001,customers!$C$2:$C$1001,,0,1))</f>
        <v/>
      </c>
      <c r="H653" s="2" t="str">
        <f>_xlfn.XLOOKUP(C653, customers!$A$2:$A$1001, customers!$G$2:$G$1001, , 0, 1)</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Large</v>
      </c>
      <c r="P653" t="str">
        <f>_xlfn.XLOOKUP(Orders[[#This Row],[Customer ID]],customers!$A$1:$A$1001,customers!$I$1:$I$1001,"",0)</f>
        <v>No</v>
      </c>
    </row>
    <row r="654" spans="1:16" x14ac:dyDescent="0.3">
      <c r="A654" s="2" t="s">
        <v>4174</v>
      </c>
      <c r="B654" s="3">
        <v>43892</v>
      </c>
      <c r="C654" s="2" t="s">
        <v>4175</v>
      </c>
      <c r="D654" t="s">
        <v>6170</v>
      </c>
      <c r="E654" s="2">
        <v>4</v>
      </c>
      <c r="F654" t="str">
        <f>_xlfn.XLOOKUP(C654, customers!$A$2:$A$1001, customers!$B$2:$B$1001, , 0, 1)</f>
        <v>Rhetta Zywicki</v>
      </c>
      <c r="G654" s="2" t="str">
        <f>IF(_xlfn.XLOOKUP(C654,customers!$A$2:$A$1001,customers!$C$2:$C$1001,,0,1)=0,"",_xlfn.XLOOKUP(C654,customers!$A$2:$A$1001,customers!$C$2:$C$1001,,0,1))</f>
        <v>rzywickii4@ifeng.com</v>
      </c>
      <c r="H654" s="2" t="str">
        <f>_xlfn.XLOOKUP(C654, customers!$A$2:$A$1001, customers!$G$2:$G$1001, , 0, 1)</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Large</v>
      </c>
      <c r="P654" t="str">
        <f>_xlfn.XLOOKUP(Orders[[#This Row],[Customer ID]],customers!$A$1:$A$1001,customers!$I$1:$I$1001,"",0)</f>
        <v>No</v>
      </c>
    </row>
    <row r="655" spans="1:16" x14ac:dyDescent="0.3">
      <c r="A655" s="2" t="s">
        <v>4179</v>
      </c>
      <c r="B655" s="3">
        <v>44375</v>
      </c>
      <c r="C655" s="2" t="s">
        <v>4180</v>
      </c>
      <c r="D655" t="s">
        <v>6175</v>
      </c>
      <c r="E655" s="2">
        <v>4</v>
      </c>
      <c r="F655" t="str">
        <f>_xlfn.XLOOKUP(C655, customers!$A$2:$A$1001, customers!$B$2:$B$1001, , 0, 1)</f>
        <v>Almeria Burgett</v>
      </c>
      <c r="G655" s="2" t="str">
        <f>IF(_xlfn.XLOOKUP(C655,customers!$A$2:$A$1001,customers!$C$2:$C$1001,,0,1)=0,"",_xlfn.XLOOKUP(C655,customers!$A$2:$A$1001,customers!$C$2:$C$1001,,0,1))</f>
        <v>aburgetti5@moonfruit.com</v>
      </c>
      <c r="H655" s="2" t="str">
        <f>_xlfn.XLOOKUP(C655, customers!$A$2:$A$1001, customers!$G$2:$G$1001, , 0, 1)</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t="str">
        <f>_xlfn.XLOOKUP(C656, customers!$A$2:$A$1001, customers!$B$2:$B$1001, , 0, 1)</f>
        <v>Marvin Malloy</v>
      </c>
      <c r="G656" s="2" t="str">
        <f>IF(_xlfn.XLOOKUP(C656,customers!$A$2:$A$1001,customers!$C$2:$C$1001,,0,1)=0,"",_xlfn.XLOOKUP(C656,customers!$A$2:$A$1001,customers!$C$2:$C$1001,,0,1))</f>
        <v>mmalloyi6@seattletimes.com</v>
      </c>
      <c r="H656" s="2" t="str">
        <f>_xlfn.XLOOKUP(C656, customers!$A$2:$A$1001, customers!$G$2:$G$1001, , 0, 1)</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t="str">
        <f>_xlfn.XLOOKUP(C657, customers!$A$2:$A$1001, customers!$B$2:$B$1001, , 0, 1)</f>
        <v>Maxim McParland</v>
      </c>
      <c r="G657" s="2" t="str">
        <f>IF(_xlfn.XLOOKUP(C657,customers!$A$2:$A$1001,customers!$C$2:$C$1001,,0,1)=0,"",_xlfn.XLOOKUP(C657,customers!$A$2:$A$1001,customers!$C$2:$C$1001,,0,1))</f>
        <v>mmcparlandi7@w3.org</v>
      </c>
      <c r="H657" s="2" t="str">
        <f>_xlfn.XLOOKUP(C657, customers!$A$2:$A$1001, customers!$G$2:$G$1001, , 0, 1)</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t="str">
        <f>_xlfn.XLOOKUP(C658, customers!$A$2:$A$1001, customers!$B$2:$B$1001, , 0, 1)</f>
        <v>Sylas Jennaroy</v>
      </c>
      <c r="G658" s="2" t="str">
        <f>IF(_xlfn.XLOOKUP(C658,customers!$A$2:$A$1001,customers!$C$2:$C$1001,,0,1)=0,"",_xlfn.XLOOKUP(C658,customers!$A$2:$A$1001,customers!$C$2:$C$1001,,0,1))</f>
        <v>sjennaroyi8@purevolume.com</v>
      </c>
      <c r="H658" s="2" t="str">
        <f>_xlfn.XLOOKUP(C658, customers!$A$2:$A$1001, customers!$G$2:$G$1001, , 0, 1)</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t="str">
        <f>_xlfn.XLOOKUP(C659, customers!$A$2:$A$1001, customers!$B$2:$B$1001, , 0, 1)</f>
        <v>Wren Place</v>
      </c>
      <c r="G659" s="2" t="str">
        <f>IF(_xlfn.XLOOKUP(C659,customers!$A$2:$A$1001,customers!$C$2:$C$1001,,0,1)=0,"",_xlfn.XLOOKUP(C659,customers!$A$2:$A$1001,customers!$C$2:$C$1001,,0,1))</f>
        <v>wplacei9@wsj.com</v>
      </c>
      <c r="H659" s="2" t="str">
        <f>_xlfn.XLOOKUP(C659, customers!$A$2:$A$1001, customers!$G$2:$G$1001, , 0, 1)</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t="str">
        <f>_xlfn.XLOOKUP(C660, customers!$A$2:$A$1001, customers!$B$2:$B$1001, , 0, 1)</f>
        <v>Janella Millett</v>
      </c>
      <c r="G660" s="2" t="str">
        <f>IF(_xlfn.XLOOKUP(C660,customers!$A$2:$A$1001,customers!$C$2:$C$1001,,0,1)=0,"",_xlfn.XLOOKUP(C660,customers!$A$2:$A$1001,customers!$C$2:$C$1001,,0,1))</f>
        <v>jmillettik@addtoany.com</v>
      </c>
      <c r="H660" s="2" t="str">
        <f>_xlfn.XLOOKUP(C660, customers!$A$2:$A$1001, customers!$G$2:$G$1001, , 0, 1)</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t="str">
        <f>_xlfn.XLOOKUP(C661, customers!$A$2:$A$1001, customers!$B$2:$B$1001, , 0, 1)</f>
        <v>Dollie Gadsden</v>
      </c>
      <c r="G661" s="2" t="str">
        <f>IF(_xlfn.XLOOKUP(C661,customers!$A$2:$A$1001,customers!$C$2:$C$1001,,0,1)=0,"",_xlfn.XLOOKUP(C661,customers!$A$2:$A$1001,customers!$C$2:$C$1001,,0,1))</f>
        <v>dgadsdenib@google.com.hk</v>
      </c>
      <c r="H661" s="2" t="str">
        <f>_xlfn.XLOOKUP(C661, customers!$A$2:$A$1001, customers!$G$2:$G$1001, , 0, 1)</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t="str">
        <f>_xlfn.XLOOKUP(C662, customers!$A$2:$A$1001, customers!$B$2:$B$1001, , 0, 1)</f>
        <v>Val Wakelin</v>
      </c>
      <c r="G662" s="2" t="str">
        <f>IF(_xlfn.XLOOKUP(C662,customers!$A$2:$A$1001,customers!$C$2:$C$1001,,0,1)=0,"",_xlfn.XLOOKUP(C662,customers!$A$2:$A$1001,customers!$C$2:$C$1001,,0,1))</f>
        <v>vwakelinic@unesco.org</v>
      </c>
      <c r="H662" s="2" t="str">
        <f>_xlfn.XLOOKUP(C662, customers!$A$2:$A$1001, customers!$G$2:$G$1001, , 0, 1)</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Large</v>
      </c>
      <c r="P662" t="str">
        <f>_xlfn.XLOOKUP(Orders[[#This Row],[Customer ID]],customers!$A$1:$A$1001,customers!$I$1:$I$1001,"",0)</f>
        <v>No</v>
      </c>
    </row>
    <row r="663" spans="1:16" x14ac:dyDescent="0.3">
      <c r="A663" s="2" t="s">
        <v>4223</v>
      </c>
      <c r="B663" s="3">
        <v>44485</v>
      </c>
      <c r="C663" s="2" t="s">
        <v>4224</v>
      </c>
      <c r="D663" t="s">
        <v>6152</v>
      </c>
      <c r="E663" s="2">
        <v>6</v>
      </c>
      <c r="F663" t="str">
        <f>_xlfn.XLOOKUP(C663, customers!$A$2:$A$1001, customers!$B$2:$B$1001, , 0, 1)</f>
        <v>Annie Campsall</v>
      </c>
      <c r="G663" s="2" t="str">
        <f>IF(_xlfn.XLOOKUP(C663,customers!$A$2:$A$1001,customers!$C$2:$C$1001,,0,1)=0,"",_xlfn.XLOOKUP(C663,customers!$A$2:$A$1001,customers!$C$2:$C$1001,,0,1))</f>
        <v>acampsallid@zimbio.com</v>
      </c>
      <c r="H663" s="2" t="str">
        <f>_xlfn.XLOOKUP(C663, customers!$A$2:$A$1001, customers!$G$2:$G$1001, , 0, 1)</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t="str">
        <f>_xlfn.XLOOKUP(C664, customers!$A$2:$A$1001, customers!$B$2:$B$1001, , 0, 1)</f>
        <v>Shermy Moseby</v>
      </c>
      <c r="G664" s="2" t="str">
        <f>IF(_xlfn.XLOOKUP(C664,customers!$A$2:$A$1001,customers!$C$2:$C$1001,,0,1)=0,"",_xlfn.XLOOKUP(C664,customers!$A$2:$A$1001,customers!$C$2:$C$1001,,0,1))</f>
        <v>smosebyie@stanford.edu</v>
      </c>
      <c r="H664" s="2" t="str">
        <f>_xlfn.XLOOKUP(C664, customers!$A$2:$A$1001, customers!$G$2:$G$1001, , 0, 1)</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t="str">
        <f>_xlfn.XLOOKUP(C665, customers!$A$2:$A$1001, customers!$B$2:$B$1001, , 0, 1)</f>
        <v>Corrie Wass</v>
      </c>
      <c r="G665" s="2" t="str">
        <f>IF(_xlfn.XLOOKUP(C665,customers!$A$2:$A$1001,customers!$C$2:$C$1001,,0,1)=0,"",_xlfn.XLOOKUP(C665,customers!$A$2:$A$1001,customers!$C$2:$C$1001,,0,1))</f>
        <v>cwassif@prweb.com</v>
      </c>
      <c r="H665" s="2" t="str">
        <f>_xlfn.XLOOKUP(C665, customers!$A$2:$A$1001, customers!$G$2:$G$1001, , 0, 1)</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t="str">
        <f>_xlfn.XLOOKUP(C666, customers!$A$2:$A$1001, customers!$B$2:$B$1001, , 0, 1)</f>
        <v>Ira Sjostrom</v>
      </c>
      <c r="G666" s="2" t="str">
        <f>IF(_xlfn.XLOOKUP(C666,customers!$A$2:$A$1001,customers!$C$2:$C$1001,,0,1)=0,"",_xlfn.XLOOKUP(C666,customers!$A$2:$A$1001,customers!$C$2:$C$1001,,0,1))</f>
        <v>isjostromig@pbs.org</v>
      </c>
      <c r="H666" s="2" t="str">
        <f>_xlfn.XLOOKUP(C666, customers!$A$2:$A$1001, customers!$G$2:$G$1001, , 0, 1)</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t="str">
        <f>_xlfn.XLOOKUP(C667, customers!$A$2:$A$1001, customers!$B$2:$B$1001, , 0, 1)</f>
        <v>Ira Sjostrom</v>
      </c>
      <c r="G667" s="2" t="str">
        <f>IF(_xlfn.XLOOKUP(C667,customers!$A$2:$A$1001,customers!$C$2:$C$1001,,0,1)=0,"",_xlfn.XLOOKUP(C667,customers!$A$2:$A$1001,customers!$C$2:$C$1001,,0,1))</f>
        <v>isjostromig@pbs.org</v>
      </c>
      <c r="H667" s="2" t="str">
        <f>_xlfn.XLOOKUP(C667, customers!$A$2:$A$1001, customers!$G$2:$G$1001, , 0, 1)</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t="str">
        <f>_xlfn.XLOOKUP(C668, customers!$A$2:$A$1001, customers!$B$2:$B$1001, , 0, 1)</f>
        <v>Jermaine Branchett</v>
      </c>
      <c r="G668" s="2" t="str">
        <f>IF(_xlfn.XLOOKUP(C668,customers!$A$2:$A$1001,customers!$C$2:$C$1001,,0,1)=0,"",_xlfn.XLOOKUP(C668,customers!$A$2:$A$1001,customers!$C$2:$C$1001,,0,1))</f>
        <v>jbranchettii@bravesites.com</v>
      </c>
      <c r="H668" s="2" t="str">
        <f>_xlfn.XLOOKUP(C668, customers!$A$2:$A$1001, customers!$G$2:$G$1001, , 0, 1)</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t="str">
        <f>_xlfn.XLOOKUP(C669, customers!$A$2:$A$1001, customers!$B$2:$B$1001, , 0, 1)</f>
        <v>Nissie Rudland</v>
      </c>
      <c r="G669" s="2" t="str">
        <f>IF(_xlfn.XLOOKUP(C669,customers!$A$2:$A$1001,customers!$C$2:$C$1001,,0,1)=0,"",_xlfn.XLOOKUP(C669,customers!$A$2:$A$1001,customers!$C$2:$C$1001,,0,1))</f>
        <v>nrudlandij@blogs.com</v>
      </c>
      <c r="H669" s="2" t="str">
        <f>_xlfn.XLOOKUP(C669, customers!$A$2:$A$1001, customers!$G$2:$G$1001, , 0, 1)</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t="str">
        <f>_xlfn.XLOOKUP(C670, customers!$A$2:$A$1001, customers!$B$2:$B$1001, , 0, 1)</f>
        <v>Janella Millett</v>
      </c>
      <c r="G670" s="2" t="str">
        <f>IF(_xlfn.XLOOKUP(C670,customers!$A$2:$A$1001,customers!$C$2:$C$1001,,0,1)=0,"",_xlfn.XLOOKUP(C670,customers!$A$2:$A$1001,customers!$C$2:$C$1001,,0,1))</f>
        <v>jmillettik@addtoany.com</v>
      </c>
      <c r="H670" s="2" t="str">
        <f>_xlfn.XLOOKUP(C670, customers!$A$2:$A$1001, customers!$G$2:$G$1001, , 0, 1)</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Large</v>
      </c>
      <c r="P670" t="str">
        <f>_xlfn.XLOOKUP(Orders[[#This Row],[Customer ID]],customers!$A$1:$A$1001,customers!$I$1:$I$1001,"",0)</f>
        <v>Yes</v>
      </c>
    </row>
    <row r="671" spans="1:16" x14ac:dyDescent="0.3">
      <c r="A671" s="2" t="s">
        <v>4268</v>
      </c>
      <c r="B671" s="3">
        <v>44551</v>
      </c>
      <c r="C671" s="2" t="s">
        <v>4269</v>
      </c>
      <c r="D671" t="s">
        <v>6181</v>
      </c>
      <c r="E671" s="2">
        <v>2</v>
      </c>
      <c r="F671" t="str">
        <f>_xlfn.XLOOKUP(C671, customers!$A$2:$A$1001, customers!$B$2:$B$1001, , 0, 1)</f>
        <v>Ferdie Tourry</v>
      </c>
      <c r="G671" s="2" t="str">
        <f>IF(_xlfn.XLOOKUP(C671,customers!$A$2:$A$1001,customers!$C$2:$C$1001,,0,1)=0,"",_xlfn.XLOOKUP(C671,customers!$A$2:$A$1001,customers!$C$2:$C$1001,,0,1))</f>
        <v>ftourryil@google.de</v>
      </c>
      <c r="H671" s="2" t="str">
        <f>_xlfn.XLOOKUP(C671, customers!$A$2:$A$1001, customers!$G$2:$G$1001, , 0, 1)</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t="str">
        <f>_xlfn.XLOOKUP(C672, customers!$A$2:$A$1001, customers!$B$2:$B$1001, , 0, 1)</f>
        <v>Cecil Weatherall</v>
      </c>
      <c r="G672" s="2" t="str">
        <f>IF(_xlfn.XLOOKUP(C672,customers!$A$2:$A$1001,customers!$C$2:$C$1001,,0,1)=0,"",_xlfn.XLOOKUP(C672,customers!$A$2:$A$1001,customers!$C$2:$C$1001,,0,1))</f>
        <v>cweatherallim@toplist.cz</v>
      </c>
      <c r="H672" s="2" t="str">
        <f>_xlfn.XLOOKUP(C672, customers!$A$2:$A$1001, customers!$G$2:$G$1001, , 0, 1)</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t="str">
        <f>_xlfn.XLOOKUP(C673, customers!$A$2:$A$1001, customers!$B$2:$B$1001, , 0, 1)</f>
        <v>Gale Heindrick</v>
      </c>
      <c r="G673" s="2" t="str">
        <f>IF(_xlfn.XLOOKUP(C673,customers!$A$2:$A$1001,customers!$C$2:$C$1001,,0,1)=0,"",_xlfn.XLOOKUP(C673,customers!$A$2:$A$1001,customers!$C$2:$C$1001,,0,1))</f>
        <v>gheindrickin@usda.gov</v>
      </c>
      <c r="H673" s="2" t="str">
        <f>_xlfn.XLOOKUP(C673, customers!$A$2:$A$1001, customers!$G$2:$G$1001, , 0, 1)</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Large</v>
      </c>
      <c r="P673" t="str">
        <f>_xlfn.XLOOKUP(Orders[[#This Row],[Customer ID]],customers!$A$1:$A$1001,customers!$I$1:$I$1001,"",0)</f>
        <v>No</v>
      </c>
    </row>
    <row r="674" spans="1:16" x14ac:dyDescent="0.3">
      <c r="A674" s="2" t="s">
        <v>4286</v>
      </c>
      <c r="B674" s="3">
        <v>43916</v>
      </c>
      <c r="C674" s="2" t="s">
        <v>4287</v>
      </c>
      <c r="D674" t="s">
        <v>6160</v>
      </c>
      <c r="E674" s="2">
        <v>5</v>
      </c>
      <c r="F674" t="str">
        <f>_xlfn.XLOOKUP(C674, customers!$A$2:$A$1001, customers!$B$2:$B$1001, , 0, 1)</f>
        <v>Layne Imason</v>
      </c>
      <c r="G674" s="2" t="str">
        <f>IF(_xlfn.XLOOKUP(C674,customers!$A$2:$A$1001,customers!$C$2:$C$1001,,0,1)=0,"",_xlfn.XLOOKUP(C674,customers!$A$2:$A$1001,customers!$C$2:$C$1001,,0,1))</f>
        <v>limasonio@discuz.net</v>
      </c>
      <c r="H674" s="2" t="str">
        <f>_xlfn.XLOOKUP(C674, customers!$A$2:$A$1001, customers!$G$2:$G$1001, , 0, 1)</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t="str">
        <f>_xlfn.XLOOKUP(C675, customers!$A$2:$A$1001, customers!$B$2:$B$1001, , 0, 1)</f>
        <v>Hazel Saill</v>
      </c>
      <c r="G675" s="2" t="str">
        <f>IF(_xlfn.XLOOKUP(C675,customers!$A$2:$A$1001,customers!$C$2:$C$1001,,0,1)=0,"",_xlfn.XLOOKUP(C675,customers!$A$2:$A$1001,customers!$C$2:$C$1001,,0,1))</f>
        <v>hsaillip@odnoklassniki.ru</v>
      </c>
      <c r="H675" s="2" t="str">
        <f>_xlfn.XLOOKUP(C675, customers!$A$2:$A$1001, customers!$G$2:$G$1001, , 0, 1)</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t="str">
        <f>_xlfn.XLOOKUP(C676, customers!$A$2:$A$1001, customers!$B$2:$B$1001, , 0, 1)</f>
        <v>Hermann Larvor</v>
      </c>
      <c r="G676" s="2" t="str">
        <f>IF(_xlfn.XLOOKUP(C676,customers!$A$2:$A$1001,customers!$C$2:$C$1001,,0,1)=0,"",_xlfn.XLOOKUP(C676,customers!$A$2:$A$1001,customers!$C$2:$C$1001,,0,1))</f>
        <v>hlarvoriq@last.fm</v>
      </c>
      <c r="H676" s="2" t="str">
        <f>_xlfn.XLOOKUP(C676, customers!$A$2:$A$1001, customers!$G$2:$G$1001, , 0, 1)</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Large</v>
      </c>
      <c r="P676" t="str">
        <f>_xlfn.XLOOKUP(Orders[[#This Row],[Customer ID]],customers!$A$1:$A$1001,customers!$I$1:$I$1001,"",0)</f>
        <v>Yes</v>
      </c>
    </row>
    <row r="677" spans="1:16" x14ac:dyDescent="0.3">
      <c r="A677" s="2" t="s">
        <v>4303</v>
      </c>
      <c r="B677" s="3">
        <v>44263</v>
      </c>
      <c r="C677" s="2" t="s">
        <v>4304</v>
      </c>
      <c r="D677" t="s">
        <v>6165</v>
      </c>
      <c r="E677" s="2">
        <v>4</v>
      </c>
      <c r="F677" t="str">
        <f>_xlfn.XLOOKUP(C677, customers!$A$2:$A$1001, customers!$B$2:$B$1001, , 0, 1)</f>
        <v>Terri Lyford</v>
      </c>
      <c r="G677" s="2" t="str">
        <f>IF(_xlfn.XLOOKUP(C677,customers!$A$2:$A$1001,customers!$C$2:$C$1001,,0,1)=0,"",_xlfn.XLOOKUP(C677,customers!$A$2:$A$1001,customers!$C$2:$C$1001,,0,1))</f>
        <v/>
      </c>
      <c r="H677" s="2" t="str">
        <f>_xlfn.XLOOKUP(C677, customers!$A$2:$A$1001, customers!$G$2:$G$1001, , 0, 1)</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t="str">
        <f>_xlfn.XLOOKUP(C678, customers!$A$2:$A$1001, customers!$B$2:$B$1001, , 0, 1)</f>
        <v>Gabey Cogan</v>
      </c>
      <c r="G678" s="2" t="str">
        <f>IF(_xlfn.XLOOKUP(C678,customers!$A$2:$A$1001,customers!$C$2:$C$1001,,0,1)=0,"",_xlfn.XLOOKUP(C678,customers!$A$2:$A$1001,customers!$C$2:$C$1001,,0,1))</f>
        <v/>
      </c>
      <c r="H678" s="2" t="str">
        <f>_xlfn.XLOOKUP(C678, customers!$A$2:$A$1001, customers!$G$2:$G$1001, , 0, 1)</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Large</v>
      </c>
      <c r="P678" t="str">
        <f>_xlfn.XLOOKUP(Orders[[#This Row],[Customer ID]],customers!$A$1:$A$1001,customers!$I$1:$I$1001,"",0)</f>
        <v>No</v>
      </c>
    </row>
    <row r="679" spans="1:16" x14ac:dyDescent="0.3">
      <c r="A679" s="2" t="s">
        <v>4313</v>
      </c>
      <c r="B679" s="3">
        <v>44206</v>
      </c>
      <c r="C679" s="2" t="s">
        <v>4314</v>
      </c>
      <c r="D679" t="s">
        <v>6160</v>
      </c>
      <c r="E679" s="2">
        <v>5</v>
      </c>
      <c r="F679" t="str">
        <f>_xlfn.XLOOKUP(C679, customers!$A$2:$A$1001, customers!$B$2:$B$1001, , 0, 1)</f>
        <v>Charin Penwarden</v>
      </c>
      <c r="G679" s="2" t="str">
        <f>IF(_xlfn.XLOOKUP(C679,customers!$A$2:$A$1001,customers!$C$2:$C$1001,,0,1)=0,"",_xlfn.XLOOKUP(C679,customers!$A$2:$A$1001,customers!$C$2:$C$1001,,0,1))</f>
        <v>cpenwardenit@mlb.com</v>
      </c>
      <c r="H679" s="2" t="str">
        <f>_xlfn.XLOOKUP(C679, customers!$A$2:$A$1001, customers!$G$2:$G$1001, , 0, 1)</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t="str">
        <f>_xlfn.XLOOKUP(C680, customers!$A$2:$A$1001, customers!$B$2:$B$1001, , 0, 1)</f>
        <v>Milty Middis</v>
      </c>
      <c r="G680" s="2" t="str">
        <f>IF(_xlfn.XLOOKUP(C680,customers!$A$2:$A$1001,customers!$C$2:$C$1001,,0,1)=0,"",_xlfn.XLOOKUP(C680,customers!$A$2:$A$1001,customers!$C$2:$C$1001,,0,1))</f>
        <v>mmiddisiu@dmoz.org</v>
      </c>
      <c r="H680" s="2" t="str">
        <f>_xlfn.XLOOKUP(C680, customers!$A$2:$A$1001, customers!$G$2:$G$1001, , 0, 1)</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Large</v>
      </c>
      <c r="P680" t="str">
        <f>_xlfn.XLOOKUP(Orders[[#This Row],[Customer ID]],customers!$A$1:$A$1001,customers!$I$1:$I$1001,"",0)</f>
        <v>Yes</v>
      </c>
    </row>
    <row r="681" spans="1:16" x14ac:dyDescent="0.3">
      <c r="A681" s="2" t="s">
        <v>4325</v>
      </c>
      <c r="B681" s="3">
        <v>44645</v>
      </c>
      <c r="C681" s="2" t="s">
        <v>4326</v>
      </c>
      <c r="D681" t="s">
        <v>6142</v>
      </c>
      <c r="E681" s="2">
        <v>1</v>
      </c>
      <c r="F681" t="str">
        <f>_xlfn.XLOOKUP(C681, customers!$A$2:$A$1001, customers!$B$2:$B$1001, , 0, 1)</f>
        <v>Adrianne Vairow</v>
      </c>
      <c r="G681" s="2" t="str">
        <f>IF(_xlfn.XLOOKUP(C681,customers!$A$2:$A$1001,customers!$C$2:$C$1001,,0,1)=0,"",_xlfn.XLOOKUP(C681,customers!$A$2:$A$1001,customers!$C$2:$C$1001,,0,1))</f>
        <v>avairowiv@studiopress.com</v>
      </c>
      <c r="H681" s="2" t="str">
        <f>_xlfn.XLOOKUP(C681, customers!$A$2:$A$1001, customers!$G$2:$G$1001, , 0, 1)</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Large</v>
      </c>
      <c r="P681" t="str">
        <f>_xlfn.XLOOKUP(Orders[[#This Row],[Customer ID]],customers!$A$1:$A$1001,customers!$I$1:$I$1001,"",0)</f>
        <v>No</v>
      </c>
    </row>
    <row r="682" spans="1:16" x14ac:dyDescent="0.3">
      <c r="A682" s="2" t="s">
        <v>4331</v>
      </c>
      <c r="B682" s="3">
        <v>44399</v>
      </c>
      <c r="C682" s="2" t="s">
        <v>4332</v>
      </c>
      <c r="D682" t="s">
        <v>6155</v>
      </c>
      <c r="E682" s="2">
        <v>5</v>
      </c>
      <c r="F682" t="str">
        <f>_xlfn.XLOOKUP(C682, customers!$A$2:$A$1001, customers!$B$2:$B$1001, , 0, 1)</f>
        <v>Anjanette Goldie</v>
      </c>
      <c r="G682" s="2" t="str">
        <f>IF(_xlfn.XLOOKUP(C682,customers!$A$2:$A$1001,customers!$C$2:$C$1001,,0,1)=0,"",_xlfn.XLOOKUP(C682,customers!$A$2:$A$1001,customers!$C$2:$C$1001,,0,1))</f>
        <v>agoldieiw@goo.gl</v>
      </c>
      <c r="H682" s="2" t="str">
        <f>_xlfn.XLOOKUP(C682, customers!$A$2:$A$1001, customers!$G$2:$G$1001, , 0, 1)</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t="str">
        <f>_xlfn.XLOOKUP(C683, customers!$A$2:$A$1001, customers!$B$2:$B$1001, , 0, 1)</f>
        <v>Nicky Ayris</v>
      </c>
      <c r="G683" s="2" t="str">
        <f>IF(_xlfn.XLOOKUP(C683,customers!$A$2:$A$1001,customers!$C$2:$C$1001,,0,1)=0,"",_xlfn.XLOOKUP(C683,customers!$A$2:$A$1001,customers!$C$2:$C$1001,,0,1))</f>
        <v>nayrisix@t-online.de</v>
      </c>
      <c r="H683" s="2" t="str">
        <f>_xlfn.XLOOKUP(C683, customers!$A$2:$A$1001, customers!$G$2:$G$1001, , 0, 1)</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Large</v>
      </c>
      <c r="P683" t="str">
        <f>_xlfn.XLOOKUP(Orders[[#This Row],[Customer ID]],customers!$A$1:$A$1001,customers!$I$1:$I$1001,"",0)</f>
        <v>Yes</v>
      </c>
    </row>
    <row r="684" spans="1:16" x14ac:dyDescent="0.3">
      <c r="A684" s="2" t="s">
        <v>4342</v>
      </c>
      <c r="B684" s="3">
        <v>43827</v>
      </c>
      <c r="C684" s="2" t="s">
        <v>4343</v>
      </c>
      <c r="D684" t="s">
        <v>6156</v>
      </c>
      <c r="E684" s="2">
        <v>2</v>
      </c>
      <c r="F684" t="str">
        <f>_xlfn.XLOOKUP(C684, customers!$A$2:$A$1001, customers!$B$2:$B$1001, , 0, 1)</f>
        <v>Laryssa Benediktovich</v>
      </c>
      <c r="G684" s="2" t="str">
        <f>IF(_xlfn.XLOOKUP(C684,customers!$A$2:$A$1001,customers!$C$2:$C$1001,,0,1)=0,"",_xlfn.XLOOKUP(C684,customers!$A$2:$A$1001,customers!$C$2:$C$1001,,0,1))</f>
        <v>lbenediktovichiy@wunderground.com</v>
      </c>
      <c r="H684" s="2" t="str">
        <f>_xlfn.XLOOKUP(C684, customers!$A$2:$A$1001, customers!$G$2:$G$1001, , 0, 1)</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t="str">
        <f>_xlfn.XLOOKUP(C685, customers!$A$2:$A$1001, customers!$B$2:$B$1001, , 0, 1)</f>
        <v>Theo Jacobovitz</v>
      </c>
      <c r="G685" s="2" t="str">
        <f>IF(_xlfn.XLOOKUP(C685,customers!$A$2:$A$1001,customers!$C$2:$C$1001,,0,1)=0,"",_xlfn.XLOOKUP(C685,customers!$A$2:$A$1001,customers!$C$2:$C$1001,,0,1))</f>
        <v>tjacobovitziz@cbc.ca</v>
      </c>
      <c r="H685" s="2" t="str">
        <f>_xlfn.XLOOKUP(C685, customers!$A$2:$A$1001, customers!$G$2:$G$1001, , 0, 1)</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t="str">
        <f>_xlfn.XLOOKUP(C686, customers!$A$2:$A$1001, customers!$B$2:$B$1001, , 0, 1)</f>
        <v>Becca Ableson</v>
      </c>
      <c r="G686" s="2" t="str">
        <f>IF(_xlfn.XLOOKUP(C686,customers!$A$2:$A$1001,customers!$C$2:$C$1001,,0,1)=0,"",_xlfn.XLOOKUP(C686,customers!$A$2:$A$1001,customers!$C$2:$C$1001,,0,1))</f>
        <v/>
      </c>
      <c r="H686" s="2" t="str">
        <f>_xlfn.XLOOKUP(C686, customers!$A$2:$A$1001, customers!$G$2:$G$1001, , 0, 1)</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Large</v>
      </c>
      <c r="P686" t="str">
        <f>_xlfn.XLOOKUP(Orders[[#This Row],[Customer ID]],customers!$A$1:$A$1001,customers!$I$1:$I$1001,"",0)</f>
        <v>No</v>
      </c>
    </row>
    <row r="687" spans="1:16" x14ac:dyDescent="0.3">
      <c r="A687" s="2" t="s">
        <v>4359</v>
      </c>
      <c r="B687" s="3">
        <v>44637</v>
      </c>
      <c r="C687" s="2" t="s">
        <v>4360</v>
      </c>
      <c r="D687" t="s">
        <v>6164</v>
      </c>
      <c r="E687" s="2">
        <v>2</v>
      </c>
      <c r="F687" t="str">
        <f>_xlfn.XLOOKUP(C687, customers!$A$2:$A$1001, customers!$B$2:$B$1001, , 0, 1)</f>
        <v>Jeno Druitt</v>
      </c>
      <c r="G687" s="2" t="str">
        <f>IF(_xlfn.XLOOKUP(C687,customers!$A$2:$A$1001,customers!$C$2:$C$1001,,0,1)=0,"",_xlfn.XLOOKUP(C687,customers!$A$2:$A$1001,customers!$C$2:$C$1001,,0,1))</f>
        <v>jdruittj1@feedburner.com</v>
      </c>
      <c r="H687" s="2" t="str">
        <f>_xlfn.XLOOKUP(C687, customers!$A$2:$A$1001, customers!$G$2:$G$1001, , 0, 1)</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Large</v>
      </c>
      <c r="P687" t="str">
        <f>_xlfn.XLOOKUP(Orders[[#This Row],[Customer ID]],customers!$A$1:$A$1001,customers!$I$1:$I$1001,"",0)</f>
        <v>Yes</v>
      </c>
    </row>
    <row r="688" spans="1:16" x14ac:dyDescent="0.3">
      <c r="A688" s="2" t="s">
        <v>4365</v>
      </c>
      <c r="B688" s="3">
        <v>44330</v>
      </c>
      <c r="C688" s="2" t="s">
        <v>4366</v>
      </c>
      <c r="D688" t="s">
        <v>6163</v>
      </c>
      <c r="E688" s="2">
        <v>3</v>
      </c>
      <c r="F688" t="str">
        <f>_xlfn.XLOOKUP(C688, customers!$A$2:$A$1001, customers!$B$2:$B$1001, , 0, 1)</f>
        <v>Deonne Shortall</v>
      </c>
      <c r="G688" s="2" t="str">
        <f>IF(_xlfn.XLOOKUP(C688,customers!$A$2:$A$1001,customers!$C$2:$C$1001,,0,1)=0,"",_xlfn.XLOOKUP(C688,customers!$A$2:$A$1001,customers!$C$2:$C$1001,,0,1))</f>
        <v>dshortallj2@wikipedia.org</v>
      </c>
      <c r="H688" s="2" t="str">
        <f>_xlfn.XLOOKUP(C688, customers!$A$2:$A$1001, customers!$G$2:$G$1001, , 0, 1)</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t="str">
        <f>_xlfn.XLOOKUP(C689, customers!$A$2:$A$1001, customers!$B$2:$B$1001, , 0, 1)</f>
        <v>Wilton Cottier</v>
      </c>
      <c r="G689" s="2" t="str">
        <f>IF(_xlfn.XLOOKUP(C689,customers!$A$2:$A$1001,customers!$C$2:$C$1001,,0,1)=0,"",_xlfn.XLOOKUP(C689,customers!$A$2:$A$1001,customers!$C$2:$C$1001,,0,1))</f>
        <v>wcottierj3@cafepress.com</v>
      </c>
      <c r="H689" s="2" t="str">
        <f>_xlfn.XLOOKUP(C689, customers!$A$2:$A$1001, customers!$G$2:$G$1001, , 0, 1)</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t="str">
        <f>_xlfn.XLOOKUP(C690, customers!$A$2:$A$1001, customers!$B$2:$B$1001, , 0, 1)</f>
        <v>Kevan Grinsted</v>
      </c>
      <c r="G690" s="2" t="str">
        <f>IF(_xlfn.XLOOKUP(C690,customers!$A$2:$A$1001,customers!$C$2:$C$1001,,0,1)=0,"",_xlfn.XLOOKUP(C690,customers!$A$2:$A$1001,customers!$C$2:$C$1001,,0,1))</f>
        <v>kgrinstedj4@google.com.br</v>
      </c>
      <c r="H690" s="2" t="str">
        <f>_xlfn.XLOOKUP(C690, customers!$A$2:$A$1001, customers!$G$2:$G$1001, , 0, 1)</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Large</v>
      </c>
      <c r="P690" t="str">
        <f>_xlfn.XLOOKUP(Orders[[#This Row],[Customer ID]],customers!$A$1:$A$1001,customers!$I$1:$I$1001,"",0)</f>
        <v>No</v>
      </c>
    </row>
    <row r="691" spans="1:16" x14ac:dyDescent="0.3">
      <c r="A691" s="2" t="s">
        <v>4383</v>
      </c>
      <c r="B691" s="3">
        <v>44346</v>
      </c>
      <c r="C691" s="2" t="s">
        <v>4384</v>
      </c>
      <c r="D691" t="s">
        <v>6157</v>
      </c>
      <c r="E691" s="2">
        <v>5</v>
      </c>
      <c r="F691" t="str">
        <f>_xlfn.XLOOKUP(C691, customers!$A$2:$A$1001, customers!$B$2:$B$1001, , 0, 1)</f>
        <v>Dionne Skyner</v>
      </c>
      <c r="G691" s="2" t="str">
        <f>IF(_xlfn.XLOOKUP(C691,customers!$A$2:$A$1001,customers!$C$2:$C$1001,,0,1)=0,"",_xlfn.XLOOKUP(C691,customers!$A$2:$A$1001,customers!$C$2:$C$1001,,0,1))</f>
        <v>dskynerj5@hubpages.com</v>
      </c>
      <c r="H691" s="2" t="str">
        <f>_xlfn.XLOOKUP(C691, customers!$A$2:$A$1001, customers!$G$2:$G$1001, , 0, 1)</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t="str">
        <f>_xlfn.XLOOKUP(C692, customers!$A$2:$A$1001, customers!$B$2:$B$1001, , 0, 1)</f>
        <v>Francesco Dressel</v>
      </c>
      <c r="G692" s="2" t="str">
        <f>IF(_xlfn.XLOOKUP(C692,customers!$A$2:$A$1001,customers!$C$2:$C$1001,,0,1)=0,"",_xlfn.XLOOKUP(C692,customers!$A$2:$A$1001,customers!$C$2:$C$1001,,0,1))</f>
        <v/>
      </c>
      <c r="H692" s="2" t="str">
        <f>_xlfn.XLOOKUP(C692, customers!$A$2:$A$1001, customers!$G$2:$G$1001, , 0, 1)</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t="str">
        <f>_xlfn.XLOOKUP(C693, customers!$A$2:$A$1001, customers!$B$2:$B$1001, , 0, 1)</f>
        <v>Jimmy Dymoke</v>
      </c>
      <c r="G693" s="2" t="str">
        <f>IF(_xlfn.XLOOKUP(C693,customers!$A$2:$A$1001,customers!$C$2:$C$1001,,0,1)=0,"",_xlfn.XLOOKUP(C693,customers!$A$2:$A$1001,customers!$C$2:$C$1001,,0,1))</f>
        <v>jdymokeje@prnewswire.com</v>
      </c>
      <c r="H693" s="2" t="str">
        <f>_xlfn.XLOOKUP(C693, customers!$A$2:$A$1001, customers!$G$2:$G$1001, , 0, 1)</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t="str">
        <f>_xlfn.XLOOKUP(C694, customers!$A$2:$A$1001, customers!$B$2:$B$1001, , 0, 1)</f>
        <v>Ambrosio Weinmann</v>
      </c>
      <c r="G694" s="2" t="str">
        <f>IF(_xlfn.XLOOKUP(C694,customers!$A$2:$A$1001,customers!$C$2:$C$1001,,0,1)=0,"",_xlfn.XLOOKUP(C694,customers!$A$2:$A$1001,customers!$C$2:$C$1001,,0,1))</f>
        <v>aweinmannj8@shinystat.com</v>
      </c>
      <c r="H694" s="2" t="str">
        <f>_xlfn.XLOOKUP(C694, customers!$A$2:$A$1001, customers!$G$2:$G$1001, , 0, 1)</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t="str">
        <f>_xlfn.XLOOKUP(C695, customers!$A$2:$A$1001, customers!$B$2:$B$1001, , 0, 1)</f>
        <v>Elden Andriessen</v>
      </c>
      <c r="G695" s="2" t="str">
        <f>IF(_xlfn.XLOOKUP(C695,customers!$A$2:$A$1001,customers!$C$2:$C$1001,,0,1)=0,"",_xlfn.XLOOKUP(C695,customers!$A$2:$A$1001,customers!$C$2:$C$1001,,0,1))</f>
        <v>eandriessenj9@europa.eu</v>
      </c>
      <c r="H695" s="2" t="str">
        <f>_xlfn.XLOOKUP(C695, customers!$A$2:$A$1001, customers!$G$2:$G$1001, , 0, 1)</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t="str">
        <f>_xlfn.XLOOKUP(C696, customers!$A$2:$A$1001, customers!$B$2:$B$1001, , 0, 1)</f>
        <v>Roxie Deaconson</v>
      </c>
      <c r="G696" s="2" t="str">
        <f>IF(_xlfn.XLOOKUP(C696,customers!$A$2:$A$1001,customers!$C$2:$C$1001,,0,1)=0,"",_xlfn.XLOOKUP(C696,customers!$A$2:$A$1001,customers!$C$2:$C$1001,,0,1))</f>
        <v>rdeaconsonja@archive.org</v>
      </c>
      <c r="H696" s="2" t="str">
        <f>_xlfn.XLOOKUP(C696, customers!$A$2:$A$1001, customers!$G$2:$G$1001, , 0, 1)</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t="str">
        <f>_xlfn.XLOOKUP(C697, customers!$A$2:$A$1001, customers!$B$2:$B$1001, , 0, 1)</f>
        <v>Davida Caro</v>
      </c>
      <c r="G697" s="2" t="str">
        <f>IF(_xlfn.XLOOKUP(C697,customers!$A$2:$A$1001,customers!$C$2:$C$1001,,0,1)=0,"",_xlfn.XLOOKUP(C697,customers!$A$2:$A$1001,customers!$C$2:$C$1001,,0,1))</f>
        <v>dcarojb@twitter.com</v>
      </c>
      <c r="H697" s="2" t="str">
        <f>_xlfn.XLOOKUP(C697, customers!$A$2:$A$1001, customers!$G$2:$G$1001, , 0, 1)</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Large</v>
      </c>
      <c r="P697" t="str">
        <f>_xlfn.XLOOKUP(Orders[[#This Row],[Customer ID]],customers!$A$1:$A$1001,customers!$I$1:$I$1001,"",0)</f>
        <v>Yes</v>
      </c>
    </row>
    <row r="698" spans="1:16" x14ac:dyDescent="0.3">
      <c r="A698" s="2" t="s">
        <v>4423</v>
      </c>
      <c r="B698" s="3">
        <v>43693</v>
      </c>
      <c r="C698" s="2" t="s">
        <v>4424</v>
      </c>
      <c r="D698" t="s">
        <v>6169</v>
      </c>
      <c r="E698" s="2">
        <v>4</v>
      </c>
      <c r="F698" t="str">
        <f>_xlfn.XLOOKUP(C698, customers!$A$2:$A$1001, customers!$B$2:$B$1001, , 0, 1)</f>
        <v>Johna Bluck</v>
      </c>
      <c r="G698" s="2" t="str">
        <f>IF(_xlfn.XLOOKUP(C698,customers!$A$2:$A$1001,customers!$C$2:$C$1001,,0,1)=0,"",_xlfn.XLOOKUP(C698,customers!$A$2:$A$1001,customers!$C$2:$C$1001,,0,1))</f>
        <v>jbluckjc@imageshack.us</v>
      </c>
      <c r="H698" s="2" t="str">
        <f>_xlfn.XLOOKUP(C698, customers!$A$2:$A$1001, customers!$G$2:$G$1001, , 0, 1)</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t="str">
        <f>_xlfn.XLOOKUP(C699, customers!$A$2:$A$1001, customers!$B$2:$B$1001, , 0, 1)</f>
        <v>Myrle Dearden</v>
      </c>
      <c r="G699" s="2" t="str">
        <f>IF(_xlfn.XLOOKUP(C699,customers!$A$2:$A$1001,customers!$C$2:$C$1001,,0,1)=0,"",_xlfn.XLOOKUP(C699,customers!$A$2:$A$1001,customers!$C$2:$C$1001,,0,1))</f>
        <v/>
      </c>
      <c r="H699" s="2" t="str">
        <f>_xlfn.XLOOKUP(C699, customers!$A$2:$A$1001, customers!$G$2:$G$1001, , 0, 1)</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t="str">
        <f>_xlfn.XLOOKUP(C700, customers!$A$2:$A$1001, customers!$B$2:$B$1001, , 0, 1)</f>
        <v>Jimmy Dymoke</v>
      </c>
      <c r="G700" s="2" t="str">
        <f>IF(_xlfn.XLOOKUP(C700,customers!$A$2:$A$1001,customers!$C$2:$C$1001,,0,1)=0,"",_xlfn.XLOOKUP(C700,customers!$A$2:$A$1001,customers!$C$2:$C$1001,,0,1))</f>
        <v>jdymokeje@prnewswire.com</v>
      </c>
      <c r="H700" s="2" t="str">
        <f>_xlfn.XLOOKUP(C700, customers!$A$2:$A$1001, customers!$G$2:$G$1001, , 0, 1)</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t="str">
        <f>_xlfn.XLOOKUP(C701, customers!$A$2:$A$1001, customers!$B$2:$B$1001, , 0, 1)</f>
        <v>Orland Tadman</v>
      </c>
      <c r="G701" s="2" t="str">
        <f>IF(_xlfn.XLOOKUP(C701,customers!$A$2:$A$1001,customers!$C$2:$C$1001,,0,1)=0,"",_xlfn.XLOOKUP(C701,customers!$A$2:$A$1001,customers!$C$2:$C$1001,,0,1))</f>
        <v>otadmanjf@ft.com</v>
      </c>
      <c r="H701" s="2" t="str">
        <f>_xlfn.XLOOKUP(C701, customers!$A$2:$A$1001, customers!$G$2:$G$1001, , 0, 1)</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t="str">
        <f>_xlfn.XLOOKUP(C702, customers!$A$2:$A$1001, customers!$B$2:$B$1001, , 0, 1)</f>
        <v>Barrett Gudde</v>
      </c>
      <c r="G702" s="2" t="str">
        <f>IF(_xlfn.XLOOKUP(C702,customers!$A$2:$A$1001,customers!$C$2:$C$1001,,0,1)=0,"",_xlfn.XLOOKUP(C702,customers!$A$2:$A$1001,customers!$C$2:$C$1001,,0,1))</f>
        <v>bguddejg@dailymotion.com</v>
      </c>
      <c r="H702" s="2" t="str">
        <f>_xlfn.XLOOKUP(C702, customers!$A$2:$A$1001, customers!$G$2:$G$1001, , 0, 1)</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Large</v>
      </c>
      <c r="P702" t="str">
        <f>_xlfn.XLOOKUP(Orders[[#This Row],[Customer ID]],customers!$A$1:$A$1001,customers!$I$1:$I$1001,"",0)</f>
        <v>No</v>
      </c>
    </row>
    <row r="703" spans="1:16" x14ac:dyDescent="0.3">
      <c r="A703" s="2" t="s">
        <v>4450</v>
      </c>
      <c r="B703" s="3">
        <v>44727</v>
      </c>
      <c r="C703" s="2" t="s">
        <v>4451</v>
      </c>
      <c r="D703" t="s">
        <v>6158</v>
      </c>
      <c r="E703" s="2">
        <v>5</v>
      </c>
      <c r="F703" t="str">
        <f>_xlfn.XLOOKUP(C703, customers!$A$2:$A$1001, customers!$B$2:$B$1001, , 0, 1)</f>
        <v>Nathan Sictornes</v>
      </c>
      <c r="G703" s="2" t="str">
        <f>IF(_xlfn.XLOOKUP(C703,customers!$A$2:$A$1001,customers!$C$2:$C$1001,,0,1)=0,"",_xlfn.XLOOKUP(C703,customers!$A$2:$A$1001,customers!$C$2:$C$1001,,0,1))</f>
        <v>nsictornesjh@buzzfeed.com</v>
      </c>
      <c r="H703" s="2" t="str">
        <f>_xlfn.XLOOKUP(C703, customers!$A$2:$A$1001, customers!$G$2:$G$1001, , 0, 1)</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t="str">
        <f>_xlfn.XLOOKUP(C704, customers!$A$2:$A$1001, customers!$B$2:$B$1001, , 0, 1)</f>
        <v>Vivyan Dunning</v>
      </c>
      <c r="G704" s="2" t="str">
        <f>IF(_xlfn.XLOOKUP(C704,customers!$A$2:$A$1001,customers!$C$2:$C$1001,,0,1)=0,"",_xlfn.XLOOKUP(C704,customers!$A$2:$A$1001,customers!$C$2:$C$1001,,0,1))</f>
        <v>vdunningji@independent.co.uk</v>
      </c>
      <c r="H704" s="2" t="str">
        <f>_xlfn.XLOOKUP(C704, customers!$A$2:$A$1001, customers!$G$2:$G$1001, , 0, 1)</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Large</v>
      </c>
      <c r="P704" t="str">
        <f>_xlfn.XLOOKUP(Orders[[#This Row],[Customer ID]],customers!$A$1:$A$1001,customers!$I$1:$I$1001,"",0)</f>
        <v>Yes</v>
      </c>
    </row>
    <row r="705" spans="1:16" x14ac:dyDescent="0.3">
      <c r="A705" s="2" t="s">
        <v>4461</v>
      </c>
      <c r="B705" s="3">
        <v>43506</v>
      </c>
      <c r="C705" s="2" t="s">
        <v>4462</v>
      </c>
      <c r="D705" t="s">
        <v>6165</v>
      </c>
      <c r="E705" s="2">
        <v>4</v>
      </c>
      <c r="F705" t="str">
        <f>_xlfn.XLOOKUP(C705, customers!$A$2:$A$1001, customers!$B$2:$B$1001, , 0, 1)</f>
        <v>Doralin Baison</v>
      </c>
      <c r="G705" s="2" t="str">
        <f>IF(_xlfn.XLOOKUP(C705,customers!$A$2:$A$1001,customers!$C$2:$C$1001,,0,1)=0,"",_xlfn.XLOOKUP(C705,customers!$A$2:$A$1001,customers!$C$2:$C$1001,,0,1))</f>
        <v/>
      </c>
      <c r="H705" s="2" t="str">
        <f>_xlfn.XLOOKUP(C705, customers!$A$2:$A$1001, customers!$G$2:$G$1001, , 0, 1)</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t="str">
        <f>_xlfn.XLOOKUP(C706, customers!$A$2:$A$1001, customers!$B$2:$B$1001, , 0, 1)</f>
        <v>Josefina Ferens</v>
      </c>
      <c r="G706" s="2" t="str">
        <f>IF(_xlfn.XLOOKUP(C706,customers!$A$2:$A$1001,customers!$C$2:$C$1001,,0,1)=0,"",_xlfn.XLOOKUP(C706,customers!$A$2:$A$1001,customers!$C$2:$C$1001,,0,1))</f>
        <v/>
      </c>
      <c r="H706" s="2" t="str">
        <f>_xlfn.XLOOKUP(C706, customers!$A$2:$A$1001, customers!$G$2:$G$1001, , 0, 1)</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t="str">
        <f>_xlfn.XLOOKUP(C707, customers!$A$2:$A$1001, customers!$B$2:$B$1001, , 0, 1)</f>
        <v>Shelley Gehring</v>
      </c>
      <c r="G707" s="2" t="str">
        <f>IF(_xlfn.XLOOKUP(C707,customers!$A$2:$A$1001,customers!$C$2:$C$1001,,0,1)=0,"",_xlfn.XLOOKUP(C707,customers!$A$2:$A$1001,customers!$C$2:$C$1001,,0,1))</f>
        <v>sgehringjl@gnu.org</v>
      </c>
      <c r="H707" s="2" t="str">
        <f>_xlfn.XLOOKUP(C707, customers!$A$2:$A$1001, customers!$G$2:$G$1001, , 0, 1)</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IF(J707="M","Medium",IF(J707="L","Large",IF(J707="D","Dark","")))</f>
        <v>Large</v>
      </c>
      <c r="P707" t="str">
        <f>_xlfn.XLOOKUP(Orders[[#This Row],[Customer ID]],customers!$A$1:$A$1001,customers!$I$1:$I$1001,"",0)</f>
        <v>No</v>
      </c>
    </row>
    <row r="708" spans="1:16" x14ac:dyDescent="0.3">
      <c r="A708" s="2" t="s">
        <v>4477</v>
      </c>
      <c r="B708" s="3">
        <v>44353</v>
      </c>
      <c r="C708" s="2" t="s">
        <v>4478</v>
      </c>
      <c r="D708" t="s">
        <v>6156</v>
      </c>
      <c r="E708" s="2">
        <v>3</v>
      </c>
      <c r="F708" t="str">
        <f>_xlfn.XLOOKUP(C708, customers!$A$2:$A$1001, customers!$B$2:$B$1001, , 0, 1)</f>
        <v>Barrie Fallowes</v>
      </c>
      <c r="G708" s="2" t="str">
        <f>IF(_xlfn.XLOOKUP(C708,customers!$A$2:$A$1001,customers!$C$2:$C$1001,,0,1)=0,"",_xlfn.XLOOKUP(C708,customers!$A$2:$A$1001,customers!$C$2:$C$1001,,0,1))</f>
        <v>bfallowesjm@purevolume.com</v>
      </c>
      <c r="H708" s="2" t="str">
        <f>_xlfn.XLOOKUP(C708, customers!$A$2:$A$1001, customers!$G$2:$G$1001, , 0, 1)</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t="str">
        <f>_xlfn.XLOOKUP(C709, customers!$A$2:$A$1001, customers!$B$2:$B$1001, , 0, 1)</f>
        <v>Nicolas Aiton</v>
      </c>
      <c r="G709" s="2" t="str">
        <f>IF(_xlfn.XLOOKUP(C709,customers!$A$2:$A$1001,customers!$C$2:$C$1001,,0,1)=0,"",_xlfn.XLOOKUP(C709,customers!$A$2:$A$1001,customers!$C$2:$C$1001,,0,1))</f>
        <v/>
      </c>
      <c r="H709" s="2" t="str">
        <f>_xlfn.XLOOKUP(C709, customers!$A$2:$A$1001, customers!$G$2:$G$1001, , 0, 1)</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t="str">
        <f>_xlfn.XLOOKUP(C710, customers!$A$2:$A$1001, customers!$B$2:$B$1001, , 0, 1)</f>
        <v>Shelli De Banke</v>
      </c>
      <c r="G710" s="2" t="str">
        <f>IF(_xlfn.XLOOKUP(C710,customers!$A$2:$A$1001,customers!$C$2:$C$1001,,0,1)=0,"",_xlfn.XLOOKUP(C710,customers!$A$2:$A$1001,customers!$C$2:$C$1001,,0,1))</f>
        <v>sdejo@newsvine.com</v>
      </c>
      <c r="H710" s="2" t="str">
        <f>_xlfn.XLOOKUP(C710, customers!$A$2:$A$1001, customers!$G$2:$G$1001, , 0, 1)</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t="str">
        <f>_xlfn.XLOOKUP(C711, customers!$A$2:$A$1001, customers!$B$2:$B$1001, , 0, 1)</f>
        <v>Lyell Murch</v>
      </c>
      <c r="G711" s="2" t="str">
        <f>IF(_xlfn.XLOOKUP(C711,customers!$A$2:$A$1001,customers!$C$2:$C$1001,,0,1)=0,"",_xlfn.XLOOKUP(C711,customers!$A$2:$A$1001,customers!$C$2:$C$1001,,0,1))</f>
        <v/>
      </c>
      <c r="H711" s="2" t="str">
        <f>_xlfn.XLOOKUP(C711, customers!$A$2:$A$1001, customers!$G$2:$G$1001, , 0, 1)</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Large</v>
      </c>
      <c r="P711" t="str">
        <f>_xlfn.XLOOKUP(Orders[[#This Row],[Customer ID]],customers!$A$1:$A$1001,customers!$I$1:$I$1001,"",0)</f>
        <v>Yes</v>
      </c>
    </row>
    <row r="712" spans="1:16" x14ac:dyDescent="0.3">
      <c r="A712" s="2" t="s">
        <v>4499</v>
      </c>
      <c r="B712" s="3">
        <v>44655</v>
      </c>
      <c r="C712" s="2" t="s">
        <v>4500</v>
      </c>
      <c r="D712" t="s">
        <v>6139</v>
      </c>
      <c r="E712" s="2">
        <v>3</v>
      </c>
      <c r="F712" t="str">
        <f>_xlfn.XLOOKUP(C712, customers!$A$2:$A$1001, customers!$B$2:$B$1001, , 0, 1)</f>
        <v>Stearne Count</v>
      </c>
      <c r="G712" s="2" t="str">
        <f>IF(_xlfn.XLOOKUP(C712,customers!$A$2:$A$1001,customers!$C$2:$C$1001,,0,1)=0,"",_xlfn.XLOOKUP(C712,customers!$A$2:$A$1001,customers!$C$2:$C$1001,,0,1))</f>
        <v>scountjq@nba.com</v>
      </c>
      <c r="H712" s="2" t="str">
        <f>_xlfn.XLOOKUP(C712, customers!$A$2:$A$1001, customers!$G$2:$G$1001, , 0, 1)</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t="str">
        <f>_xlfn.XLOOKUP(C713, customers!$A$2:$A$1001, customers!$B$2:$B$1001, , 0, 1)</f>
        <v>Selia Ragles</v>
      </c>
      <c r="G713" s="2" t="str">
        <f>IF(_xlfn.XLOOKUP(C713,customers!$A$2:$A$1001,customers!$C$2:$C$1001,,0,1)=0,"",_xlfn.XLOOKUP(C713,customers!$A$2:$A$1001,customers!$C$2:$C$1001,,0,1))</f>
        <v>sraglesjr@blogtalkradio.com</v>
      </c>
      <c r="H713" s="2" t="str">
        <f>_xlfn.XLOOKUP(C713, customers!$A$2:$A$1001, customers!$G$2:$G$1001, , 0, 1)</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t="str">
        <f>_xlfn.XLOOKUP(C714, customers!$A$2:$A$1001, customers!$B$2:$B$1001, , 0, 1)</f>
        <v>Silas Deehan</v>
      </c>
      <c r="G714" s="2" t="str">
        <f>IF(_xlfn.XLOOKUP(C714,customers!$A$2:$A$1001,customers!$C$2:$C$1001,,0,1)=0,"",_xlfn.XLOOKUP(C714,customers!$A$2:$A$1001,customers!$C$2:$C$1001,,0,1))</f>
        <v/>
      </c>
      <c r="H714" s="2" t="str">
        <f>_xlfn.XLOOKUP(C714, customers!$A$2:$A$1001, customers!$G$2:$G$1001, , 0, 1)</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t="str">
        <f>_xlfn.XLOOKUP(C715, customers!$A$2:$A$1001, customers!$B$2:$B$1001, , 0, 1)</f>
        <v>Sacha Bruun</v>
      </c>
      <c r="G715" s="2" t="str">
        <f>IF(_xlfn.XLOOKUP(C715,customers!$A$2:$A$1001,customers!$C$2:$C$1001,,0,1)=0,"",_xlfn.XLOOKUP(C715,customers!$A$2:$A$1001,customers!$C$2:$C$1001,,0,1))</f>
        <v>sbruunjt@blogtalkradio.com</v>
      </c>
      <c r="H715" s="2" t="str">
        <f>_xlfn.XLOOKUP(C715, customers!$A$2:$A$1001, customers!$G$2:$G$1001, , 0, 1)</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t="str">
        <f>_xlfn.XLOOKUP(C716, customers!$A$2:$A$1001, customers!$B$2:$B$1001, , 0, 1)</f>
        <v>Alon Pllu</v>
      </c>
      <c r="G716" s="2" t="str">
        <f>IF(_xlfn.XLOOKUP(C716,customers!$A$2:$A$1001,customers!$C$2:$C$1001,,0,1)=0,"",_xlfn.XLOOKUP(C716,customers!$A$2:$A$1001,customers!$C$2:$C$1001,,0,1))</f>
        <v>aplluju@dagondesign.com</v>
      </c>
      <c r="H716" s="2" t="str">
        <f>_xlfn.XLOOKUP(C716, customers!$A$2:$A$1001, customers!$G$2:$G$1001, , 0, 1)</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t="str">
        <f>_xlfn.XLOOKUP(C717, customers!$A$2:$A$1001, customers!$B$2:$B$1001, , 0, 1)</f>
        <v>Gilberto Cornier</v>
      </c>
      <c r="G717" s="2" t="str">
        <f>IF(_xlfn.XLOOKUP(C717,customers!$A$2:$A$1001,customers!$C$2:$C$1001,,0,1)=0,"",_xlfn.XLOOKUP(C717,customers!$A$2:$A$1001,customers!$C$2:$C$1001,,0,1))</f>
        <v>gcornierjv@techcrunch.com</v>
      </c>
      <c r="H717" s="2" t="str">
        <f>_xlfn.XLOOKUP(C717, customers!$A$2:$A$1001, customers!$G$2:$G$1001, , 0, 1)</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Large</v>
      </c>
      <c r="P717" t="str">
        <f>_xlfn.XLOOKUP(Orders[[#This Row],[Customer ID]],customers!$A$1:$A$1001,customers!$I$1:$I$1001,"",0)</f>
        <v>No</v>
      </c>
    </row>
    <row r="718" spans="1:16" x14ac:dyDescent="0.3">
      <c r="A718" s="2" t="s">
        <v>4533</v>
      </c>
      <c r="B718" s="3">
        <v>44612</v>
      </c>
      <c r="C718" s="2" t="s">
        <v>4434</v>
      </c>
      <c r="D718" t="s">
        <v>6179</v>
      </c>
      <c r="E718" s="2">
        <v>3</v>
      </c>
      <c r="F718" t="str">
        <f>_xlfn.XLOOKUP(C718, customers!$A$2:$A$1001, customers!$B$2:$B$1001, , 0, 1)</f>
        <v>Jimmy Dymoke</v>
      </c>
      <c r="G718" s="2" t="str">
        <f>IF(_xlfn.XLOOKUP(C718,customers!$A$2:$A$1001,customers!$C$2:$C$1001,,0,1)=0,"",_xlfn.XLOOKUP(C718,customers!$A$2:$A$1001,customers!$C$2:$C$1001,,0,1))</f>
        <v>jdymokeje@prnewswire.com</v>
      </c>
      <c r="H718" s="2" t="str">
        <f>_xlfn.XLOOKUP(C718, customers!$A$2:$A$1001, customers!$G$2:$G$1001, , 0, 1)</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Large</v>
      </c>
      <c r="P718" t="str">
        <f>_xlfn.XLOOKUP(Orders[[#This Row],[Customer ID]],customers!$A$1:$A$1001,customers!$I$1:$I$1001,"",0)</f>
        <v>No</v>
      </c>
    </row>
    <row r="719" spans="1:16" x14ac:dyDescent="0.3">
      <c r="A719" s="2" t="s">
        <v>4539</v>
      </c>
      <c r="B719" s="3">
        <v>43649</v>
      </c>
      <c r="C719" s="2" t="s">
        <v>4540</v>
      </c>
      <c r="D719" t="s">
        <v>6168</v>
      </c>
      <c r="E719" s="2">
        <v>3</v>
      </c>
      <c r="F719" t="str">
        <f>_xlfn.XLOOKUP(C719, customers!$A$2:$A$1001, customers!$B$2:$B$1001, , 0, 1)</f>
        <v>Willabella Harvison</v>
      </c>
      <c r="G719" s="2" t="str">
        <f>IF(_xlfn.XLOOKUP(C719,customers!$A$2:$A$1001,customers!$C$2:$C$1001,,0,1)=0,"",_xlfn.XLOOKUP(C719,customers!$A$2:$A$1001,customers!$C$2:$C$1001,,0,1))</f>
        <v>wharvisonjx@gizmodo.com</v>
      </c>
      <c r="H719" s="2" t="str">
        <f>_xlfn.XLOOKUP(C719, customers!$A$2:$A$1001, customers!$G$2:$G$1001, , 0, 1)</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t="str">
        <f>_xlfn.XLOOKUP(C720, customers!$A$2:$A$1001, customers!$B$2:$B$1001, , 0, 1)</f>
        <v>Darice Heaford</v>
      </c>
      <c r="G720" s="2" t="str">
        <f>IF(_xlfn.XLOOKUP(C720,customers!$A$2:$A$1001,customers!$C$2:$C$1001,,0,1)=0,"",_xlfn.XLOOKUP(C720,customers!$A$2:$A$1001,customers!$C$2:$C$1001,,0,1))</f>
        <v>dheafordjy@twitpic.com</v>
      </c>
      <c r="H720" s="2" t="str">
        <f>_xlfn.XLOOKUP(C720, customers!$A$2:$A$1001, customers!$G$2:$G$1001, , 0, 1)</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t="str">
        <f>_xlfn.XLOOKUP(C721, customers!$A$2:$A$1001, customers!$B$2:$B$1001, , 0, 1)</f>
        <v>Granger Fantham</v>
      </c>
      <c r="G721" s="2" t="str">
        <f>IF(_xlfn.XLOOKUP(C721,customers!$A$2:$A$1001,customers!$C$2:$C$1001,,0,1)=0,"",_xlfn.XLOOKUP(C721,customers!$A$2:$A$1001,customers!$C$2:$C$1001,,0,1))</f>
        <v>gfanthamjz@hexun.com</v>
      </c>
      <c r="H721" s="2" t="str">
        <f>_xlfn.XLOOKUP(C721, customers!$A$2:$A$1001, customers!$G$2:$G$1001, , 0, 1)</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Large</v>
      </c>
      <c r="P721" t="str">
        <f>_xlfn.XLOOKUP(Orders[[#This Row],[Customer ID]],customers!$A$1:$A$1001,customers!$I$1:$I$1001,"",0)</f>
        <v>Yes</v>
      </c>
    </row>
    <row r="722" spans="1:16" x14ac:dyDescent="0.3">
      <c r="A722" s="2" t="s">
        <v>4557</v>
      </c>
      <c r="B722" s="3">
        <v>44215</v>
      </c>
      <c r="C722" s="2" t="s">
        <v>4558</v>
      </c>
      <c r="D722" t="s">
        <v>6144</v>
      </c>
      <c r="E722" s="2">
        <v>5</v>
      </c>
      <c r="F722" t="str">
        <f>_xlfn.XLOOKUP(C722, customers!$A$2:$A$1001, customers!$B$2:$B$1001, , 0, 1)</f>
        <v>Reynolds Crookshanks</v>
      </c>
      <c r="G722" s="2" t="str">
        <f>IF(_xlfn.XLOOKUP(C722,customers!$A$2:$A$1001,customers!$C$2:$C$1001,,0,1)=0,"",_xlfn.XLOOKUP(C722,customers!$A$2:$A$1001,customers!$C$2:$C$1001,,0,1))</f>
        <v>rcrookshanksk0@unc.edu</v>
      </c>
      <c r="H722" s="2" t="str">
        <f>_xlfn.XLOOKUP(C722, customers!$A$2:$A$1001, customers!$G$2:$G$1001, , 0, 1)</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t="str">
        <f>_xlfn.XLOOKUP(C723, customers!$A$2:$A$1001, customers!$B$2:$B$1001, , 0, 1)</f>
        <v>Niels Leake</v>
      </c>
      <c r="G723" s="2" t="str">
        <f>IF(_xlfn.XLOOKUP(C723,customers!$A$2:$A$1001,customers!$C$2:$C$1001,,0,1)=0,"",_xlfn.XLOOKUP(C723,customers!$A$2:$A$1001,customers!$C$2:$C$1001,,0,1))</f>
        <v>nleakek1@cmu.edu</v>
      </c>
      <c r="H723" s="2" t="str">
        <f>_xlfn.XLOOKUP(C723, customers!$A$2:$A$1001, customers!$G$2:$G$1001, , 0, 1)</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t="str">
        <f>_xlfn.XLOOKUP(C724, customers!$A$2:$A$1001, customers!$B$2:$B$1001, , 0, 1)</f>
        <v>Hetti Measures</v>
      </c>
      <c r="G724" s="2" t="str">
        <f>IF(_xlfn.XLOOKUP(C724,customers!$A$2:$A$1001,customers!$C$2:$C$1001,,0,1)=0,"",_xlfn.XLOOKUP(C724,customers!$A$2:$A$1001,customers!$C$2:$C$1001,,0,1))</f>
        <v/>
      </c>
      <c r="H724" s="2" t="str">
        <f>_xlfn.XLOOKUP(C724, customers!$A$2:$A$1001, customers!$G$2:$G$1001, , 0, 1)</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t="str">
        <f>_xlfn.XLOOKUP(C725, customers!$A$2:$A$1001, customers!$B$2:$B$1001, , 0, 1)</f>
        <v>Gay Eilhersen</v>
      </c>
      <c r="G725" s="2" t="str">
        <f>IF(_xlfn.XLOOKUP(C725,customers!$A$2:$A$1001,customers!$C$2:$C$1001,,0,1)=0,"",_xlfn.XLOOKUP(C725,customers!$A$2:$A$1001,customers!$C$2:$C$1001,,0,1))</f>
        <v>geilhersenk3@networksolutions.com</v>
      </c>
      <c r="H725" s="2" t="str">
        <f>_xlfn.XLOOKUP(C725, customers!$A$2:$A$1001, customers!$G$2:$G$1001, , 0, 1)</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t="str">
        <f>_xlfn.XLOOKUP(C726, customers!$A$2:$A$1001, customers!$B$2:$B$1001, , 0, 1)</f>
        <v>Nico Hubert</v>
      </c>
      <c r="G726" s="2" t="str">
        <f>IF(_xlfn.XLOOKUP(C726,customers!$A$2:$A$1001,customers!$C$2:$C$1001,,0,1)=0,"",_xlfn.XLOOKUP(C726,customers!$A$2:$A$1001,customers!$C$2:$C$1001,,0,1))</f>
        <v/>
      </c>
      <c r="H726" s="2" t="str">
        <f>_xlfn.XLOOKUP(C726, customers!$A$2:$A$1001, customers!$G$2:$G$1001, , 0, 1)</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t="str">
        <f>_xlfn.XLOOKUP(C727, customers!$A$2:$A$1001, customers!$B$2:$B$1001, , 0, 1)</f>
        <v>Cristina Aleixo</v>
      </c>
      <c r="G727" s="2" t="str">
        <f>IF(_xlfn.XLOOKUP(C727,customers!$A$2:$A$1001,customers!$C$2:$C$1001,,0,1)=0,"",_xlfn.XLOOKUP(C727,customers!$A$2:$A$1001,customers!$C$2:$C$1001,,0,1))</f>
        <v>caleixok5@globo.com</v>
      </c>
      <c r="H727" s="2" t="str">
        <f>_xlfn.XLOOKUP(C727, customers!$A$2:$A$1001, customers!$G$2:$G$1001, , 0, 1)</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Large</v>
      </c>
      <c r="P727" t="str">
        <f>_xlfn.XLOOKUP(Orders[[#This Row],[Customer ID]],customers!$A$1:$A$1001,customers!$I$1:$I$1001,"",0)</f>
        <v>No</v>
      </c>
    </row>
    <row r="728" spans="1:16" x14ac:dyDescent="0.3">
      <c r="A728" s="2" t="s">
        <v>4591</v>
      </c>
      <c r="B728" s="3">
        <v>44571</v>
      </c>
      <c r="C728" s="2" t="s">
        <v>4592</v>
      </c>
      <c r="D728" t="s">
        <v>6164</v>
      </c>
      <c r="E728" s="2">
        <v>4</v>
      </c>
      <c r="F728" t="str">
        <f>_xlfn.XLOOKUP(C728, customers!$A$2:$A$1001, customers!$B$2:$B$1001, , 0, 1)</f>
        <v>Derrek Allpress</v>
      </c>
      <c r="G728" s="2" t="str">
        <f>IF(_xlfn.XLOOKUP(C728,customers!$A$2:$A$1001,customers!$C$2:$C$1001,,0,1)=0,"",_xlfn.XLOOKUP(C728,customers!$A$2:$A$1001,customers!$C$2:$C$1001,,0,1))</f>
        <v/>
      </c>
      <c r="H728" s="2" t="str">
        <f>_xlfn.XLOOKUP(C728, customers!$A$2:$A$1001, customers!$G$2:$G$1001, , 0, 1)</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Large</v>
      </c>
      <c r="P728" t="str">
        <f>_xlfn.XLOOKUP(Orders[[#This Row],[Customer ID]],customers!$A$1:$A$1001,customers!$I$1:$I$1001,"",0)</f>
        <v>No</v>
      </c>
    </row>
    <row r="729" spans="1:16" x14ac:dyDescent="0.3">
      <c r="A729" s="2" t="s">
        <v>4596</v>
      </c>
      <c r="B729" s="3">
        <v>44264</v>
      </c>
      <c r="C729" s="2" t="s">
        <v>4597</v>
      </c>
      <c r="D729" t="s">
        <v>6146</v>
      </c>
      <c r="E729" s="2">
        <v>5</v>
      </c>
      <c r="F729" t="str">
        <f>_xlfn.XLOOKUP(C729, customers!$A$2:$A$1001, customers!$B$2:$B$1001, , 0, 1)</f>
        <v>Rikki Tomkowicz</v>
      </c>
      <c r="G729" s="2" t="str">
        <f>IF(_xlfn.XLOOKUP(C729,customers!$A$2:$A$1001,customers!$C$2:$C$1001,,0,1)=0,"",_xlfn.XLOOKUP(C729,customers!$A$2:$A$1001,customers!$C$2:$C$1001,,0,1))</f>
        <v>rtomkowiczk7@bravesites.com</v>
      </c>
      <c r="H729" s="2" t="str">
        <f>_xlfn.XLOOKUP(C729, customers!$A$2:$A$1001, customers!$G$2:$G$1001, , 0, 1)</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t="str">
        <f>_xlfn.XLOOKUP(C730, customers!$A$2:$A$1001, customers!$B$2:$B$1001, , 0, 1)</f>
        <v>Rochette Huscroft</v>
      </c>
      <c r="G730" s="2" t="str">
        <f>IF(_xlfn.XLOOKUP(C730,customers!$A$2:$A$1001,customers!$C$2:$C$1001,,0,1)=0,"",_xlfn.XLOOKUP(C730,customers!$A$2:$A$1001,customers!$C$2:$C$1001,,0,1))</f>
        <v>rhuscroftk8@jimdo.com</v>
      </c>
      <c r="H730" s="2" t="str">
        <f>_xlfn.XLOOKUP(C730, customers!$A$2:$A$1001, customers!$G$2:$G$1001, , 0, 1)</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t="str">
        <f>_xlfn.XLOOKUP(C731, customers!$A$2:$A$1001, customers!$B$2:$B$1001, , 0, 1)</f>
        <v>Selle Scurrer</v>
      </c>
      <c r="G731" s="2" t="str">
        <f>IF(_xlfn.XLOOKUP(C731,customers!$A$2:$A$1001,customers!$C$2:$C$1001,,0,1)=0,"",_xlfn.XLOOKUP(C731,customers!$A$2:$A$1001,customers!$C$2:$C$1001,,0,1))</f>
        <v>sscurrerk9@flavors.me</v>
      </c>
      <c r="H731" s="2" t="str">
        <f>_xlfn.XLOOKUP(C731, customers!$A$2:$A$1001, customers!$G$2:$G$1001, , 0, 1)</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t="str">
        <f>_xlfn.XLOOKUP(C732, customers!$A$2:$A$1001, customers!$B$2:$B$1001, , 0, 1)</f>
        <v>Andie Rudram</v>
      </c>
      <c r="G732" s="2" t="str">
        <f>IF(_xlfn.XLOOKUP(C732,customers!$A$2:$A$1001,customers!$C$2:$C$1001,,0,1)=0,"",_xlfn.XLOOKUP(C732,customers!$A$2:$A$1001,customers!$C$2:$C$1001,,0,1))</f>
        <v>arudramka@prnewswire.com</v>
      </c>
      <c r="H732" s="2" t="str">
        <f>_xlfn.XLOOKUP(C732, customers!$A$2:$A$1001, customers!$G$2:$G$1001, , 0, 1)</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Large</v>
      </c>
      <c r="P732" t="str">
        <f>_xlfn.XLOOKUP(Orders[[#This Row],[Customer ID]],customers!$A$1:$A$1001,customers!$I$1:$I$1001,"",0)</f>
        <v>No</v>
      </c>
    </row>
    <row r="733" spans="1:16" x14ac:dyDescent="0.3">
      <c r="A733" s="2" t="s">
        <v>4620</v>
      </c>
      <c r="B733" s="3">
        <v>44222</v>
      </c>
      <c r="C733" s="2" t="s">
        <v>4621</v>
      </c>
      <c r="D733" t="s">
        <v>6150</v>
      </c>
      <c r="E733" s="2">
        <v>4</v>
      </c>
      <c r="F733" t="str">
        <f>_xlfn.XLOOKUP(C733, customers!$A$2:$A$1001, customers!$B$2:$B$1001, , 0, 1)</f>
        <v>Leta Clarricoates</v>
      </c>
      <c r="G733" s="2" t="str">
        <f>IF(_xlfn.XLOOKUP(C733,customers!$A$2:$A$1001,customers!$C$2:$C$1001,,0,1)=0,"",_xlfn.XLOOKUP(C733,customers!$A$2:$A$1001,customers!$C$2:$C$1001,,0,1))</f>
        <v/>
      </c>
      <c r="H733" s="2" t="str">
        <f>_xlfn.XLOOKUP(C733, customers!$A$2:$A$1001, customers!$G$2:$G$1001, , 0, 1)</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t="str">
        <f>_xlfn.XLOOKUP(C734, customers!$A$2:$A$1001, customers!$B$2:$B$1001, , 0, 1)</f>
        <v>Jacquelyn Maha</v>
      </c>
      <c r="G734" s="2" t="str">
        <f>IF(_xlfn.XLOOKUP(C734,customers!$A$2:$A$1001,customers!$C$2:$C$1001,,0,1)=0,"",_xlfn.XLOOKUP(C734,customers!$A$2:$A$1001,customers!$C$2:$C$1001,,0,1))</f>
        <v>jmahakc@cyberchimps.com</v>
      </c>
      <c r="H734" s="2" t="str">
        <f>_xlfn.XLOOKUP(C734, customers!$A$2:$A$1001, customers!$G$2:$G$1001, , 0, 1)</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Large</v>
      </c>
      <c r="P734" t="str">
        <f>_xlfn.XLOOKUP(Orders[[#This Row],[Customer ID]],customers!$A$1:$A$1001,customers!$I$1:$I$1001,"",0)</f>
        <v>No</v>
      </c>
    </row>
    <row r="735" spans="1:16" x14ac:dyDescent="0.3">
      <c r="A735" s="2" t="s">
        <v>4631</v>
      </c>
      <c r="B735" s="3">
        <v>44565</v>
      </c>
      <c r="C735" s="2" t="s">
        <v>4632</v>
      </c>
      <c r="D735" t="s">
        <v>6181</v>
      </c>
      <c r="E735" s="2">
        <v>3</v>
      </c>
      <c r="F735" t="str">
        <f>_xlfn.XLOOKUP(C735, customers!$A$2:$A$1001, customers!$B$2:$B$1001, , 0, 1)</f>
        <v>Glory Clemon</v>
      </c>
      <c r="G735" s="2" t="str">
        <f>IF(_xlfn.XLOOKUP(C735,customers!$A$2:$A$1001,customers!$C$2:$C$1001,,0,1)=0,"",_xlfn.XLOOKUP(C735,customers!$A$2:$A$1001,customers!$C$2:$C$1001,,0,1))</f>
        <v>gclemonkd@networksolutions.com</v>
      </c>
      <c r="H735" s="2" t="str">
        <f>_xlfn.XLOOKUP(C735, customers!$A$2:$A$1001, customers!$G$2:$G$1001, , 0, 1)</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t="str">
        <f>_xlfn.XLOOKUP(C736, customers!$A$2:$A$1001, customers!$B$2:$B$1001, , 0, 1)</f>
        <v>Alica Kift</v>
      </c>
      <c r="G736" s="2" t="str">
        <f>IF(_xlfn.XLOOKUP(C736,customers!$A$2:$A$1001,customers!$C$2:$C$1001,,0,1)=0,"",_xlfn.XLOOKUP(C736,customers!$A$2:$A$1001,customers!$C$2:$C$1001,,0,1))</f>
        <v/>
      </c>
      <c r="H736" s="2" t="str">
        <f>_xlfn.XLOOKUP(C736, customers!$A$2:$A$1001, customers!$G$2:$G$1001, , 0, 1)</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t="str">
        <f>_xlfn.XLOOKUP(C737, customers!$A$2:$A$1001, customers!$B$2:$B$1001, , 0, 1)</f>
        <v>Babb Pollins</v>
      </c>
      <c r="G737" s="2" t="str">
        <f>IF(_xlfn.XLOOKUP(C737,customers!$A$2:$A$1001,customers!$C$2:$C$1001,,0,1)=0,"",_xlfn.XLOOKUP(C737,customers!$A$2:$A$1001,customers!$C$2:$C$1001,,0,1))</f>
        <v>bpollinskf@shinystat.com</v>
      </c>
      <c r="H737" s="2" t="str">
        <f>_xlfn.XLOOKUP(C737, customers!$A$2:$A$1001, customers!$G$2:$G$1001, , 0, 1)</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t="str">
        <f>_xlfn.XLOOKUP(C738, customers!$A$2:$A$1001, customers!$B$2:$B$1001, , 0, 1)</f>
        <v>Jarret Toye</v>
      </c>
      <c r="G738" s="2" t="str">
        <f>IF(_xlfn.XLOOKUP(C738,customers!$A$2:$A$1001,customers!$C$2:$C$1001,,0,1)=0,"",_xlfn.XLOOKUP(C738,customers!$A$2:$A$1001,customers!$C$2:$C$1001,,0,1))</f>
        <v>jtoyekg@pinterest.com</v>
      </c>
      <c r="H738" s="2" t="str">
        <f>_xlfn.XLOOKUP(C738, customers!$A$2:$A$1001, customers!$G$2:$G$1001, , 0, 1)</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t="str">
        <f>_xlfn.XLOOKUP(C739, customers!$A$2:$A$1001, customers!$B$2:$B$1001, , 0, 1)</f>
        <v>Carlie Linskill</v>
      </c>
      <c r="G739" s="2" t="str">
        <f>IF(_xlfn.XLOOKUP(C739,customers!$A$2:$A$1001,customers!$C$2:$C$1001,,0,1)=0,"",_xlfn.XLOOKUP(C739,customers!$A$2:$A$1001,customers!$C$2:$C$1001,,0,1))</f>
        <v>clinskillkh@sphinn.com</v>
      </c>
      <c r="H739" s="2" t="str">
        <f>_xlfn.XLOOKUP(C739, customers!$A$2:$A$1001, customers!$G$2:$G$1001, , 0, 1)</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t="str">
        <f>_xlfn.XLOOKUP(C740, customers!$A$2:$A$1001, customers!$B$2:$B$1001, , 0, 1)</f>
        <v>Natal Vigrass</v>
      </c>
      <c r="G740" s="2" t="str">
        <f>IF(_xlfn.XLOOKUP(C740,customers!$A$2:$A$1001,customers!$C$2:$C$1001,,0,1)=0,"",_xlfn.XLOOKUP(C740,customers!$A$2:$A$1001,customers!$C$2:$C$1001,,0,1))</f>
        <v>nvigrasski@ezinearticles.com</v>
      </c>
      <c r="H740" s="2" t="str">
        <f>_xlfn.XLOOKUP(C740, customers!$A$2:$A$1001, customers!$G$2:$G$1001, , 0, 1)</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Large</v>
      </c>
      <c r="P740" t="str">
        <f>_xlfn.XLOOKUP(Orders[[#This Row],[Customer ID]],customers!$A$1:$A$1001,customers!$I$1:$I$1001,"",0)</f>
        <v>No</v>
      </c>
    </row>
    <row r="741" spans="1:16" x14ac:dyDescent="0.3">
      <c r="A741" s="2" t="s">
        <v>4665</v>
      </c>
      <c r="B741" s="3">
        <v>44433</v>
      </c>
      <c r="C741" s="2" t="s">
        <v>4434</v>
      </c>
      <c r="D741" t="s">
        <v>6153</v>
      </c>
      <c r="E741" s="2">
        <v>5</v>
      </c>
      <c r="F741" t="str">
        <f>_xlfn.XLOOKUP(C741, customers!$A$2:$A$1001, customers!$B$2:$B$1001, , 0, 1)</f>
        <v>Jimmy Dymoke</v>
      </c>
      <c r="G741" s="2" t="str">
        <f>IF(_xlfn.XLOOKUP(C741,customers!$A$2:$A$1001,customers!$C$2:$C$1001,,0,1)=0,"",_xlfn.XLOOKUP(C741,customers!$A$2:$A$1001,customers!$C$2:$C$1001,,0,1))</f>
        <v>jdymokeje@prnewswire.com</v>
      </c>
      <c r="H741" s="2" t="str">
        <f>_xlfn.XLOOKUP(C741, customers!$A$2:$A$1001, customers!$G$2:$G$1001, , 0, 1)</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t="str">
        <f>_xlfn.XLOOKUP(C742, customers!$A$2:$A$1001, customers!$B$2:$B$1001, , 0, 1)</f>
        <v>Kandace Cragell</v>
      </c>
      <c r="G742" s="2" t="str">
        <f>IF(_xlfn.XLOOKUP(C742,customers!$A$2:$A$1001,customers!$C$2:$C$1001,,0,1)=0,"",_xlfn.XLOOKUP(C742,customers!$A$2:$A$1001,customers!$C$2:$C$1001,,0,1))</f>
        <v>kcragellkk@google.com</v>
      </c>
      <c r="H742" s="2" t="str">
        <f>_xlfn.XLOOKUP(C742, customers!$A$2:$A$1001, customers!$G$2:$G$1001, , 0, 1)</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Large</v>
      </c>
      <c r="P742" t="str">
        <f>_xlfn.XLOOKUP(Orders[[#This Row],[Customer ID]],customers!$A$1:$A$1001,customers!$I$1:$I$1001,"",0)</f>
        <v>No</v>
      </c>
    </row>
    <row r="743" spans="1:16" x14ac:dyDescent="0.3">
      <c r="A743" s="2" t="s">
        <v>4676</v>
      </c>
      <c r="B743" s="3">
        <v>43566</v>
      </c>
      <c r="C743" s="2" t="s">
        <v>4677</v>
      </c>
      <c r="D743" t="s">
        <v>6159</v>
      </c>
      <c r="E743" s="2">
        <v>2</v>
      </c>
      <c r="F743" t="str">
        <f>_xlfn.XLOOKUP(C743, customers!$A$2:$A$1001, customers!$B$2:$B$1001, , 0, 1)</f>
        <v>Lyon Ibert</v>
      </c>
      <c r="G743" s="2" t="str">
        <f>IF(_xlfn.XLOOKUP(C743,customers!$A$2:$A$1001,customers!$C$2:$C$1001,,0,1)=0,"",_xlfn.XLOOKUP(C743,customers!$A$2:$A$1001,customers!$C$2:$C$1001,,0,1))</f>
        <v>libertkl@huffingtonpost.com</v>
      </c>
      <c r="H743" s="2" t="str">
        <f>_xlfn.XLOOKUP(C743, customers!$A$2:$A$1001, customers!$G$2:$G$1001, , 0, 1)</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t="str">
        <f>_xlfn.XLOOKUP(C744, customers!$A$2:$A$1001, customers!$B$2:$B$1001, , 0, 1)</f>
        <v>Reese Lidgey</v>
      </c>
      <c r="G744" s="2" t="str">
        <f>IF(_xlfn.XLOOKUP(C744,customers!$A$2:$A$1001,customers!$C$2:$C$1001,,0,1)=0,"",_xlfn.XLOOKUP(C744,customers!$A$2:$A$1001,customers!$C$2:$C$1001,,0,1))</f>
        <v>rlidgeykm@vimeo.com</v>
      </c>
      <c r="H744" s="2" t="str">
        <f>_xlfn.XLOOKUP(C744, customers!$A$2:$A$1001, customers!$G$2:$G$1001, , 0, 1)</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t="str">
        <f>_xlfn.XLOOKUP(C745, customers!$A$2:$A$1001, customers!$B$2:$B$1001, , 0, 1)</f>
        <v>Tersina Castagne</v>
      </c>
      <c r="G745" s="2" t="str">
        <f>IF(_xlfn.XLOOKUP(C745,customers!$A$2:$A$1001,customers!$C$2:$C$1001,,0,1)=0,"",_xlfn.XLOOKUP(C745,customers!$A$2:$A$1001,customers!$C$2:$C$1001,,0,1))</f>
        <v>tcastagnekn@wikia.com</v>
      </c>
      <c r="H745" s="2" t="str">
        <f>_xlfn.XLOOKUP(C745, customers!$A$2:$A$1001, customers!$G$2:$G$1001, , 0, 1)</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t="str">
        <f>_xlfn.XLOOKUP(C746, customers!$A$2:$A$1001, customers!$B$2:$B$1001, , 0, 1)</f>
        <v>Samuele Klaaassen</v>
      </c>
      <c r="G746" s="2" t="str">
        <f>IF(_xlfn.XLOOKUP(C746,customers!$A$2:$A$1001,customers!$C$2:$C$1001,,0,1)=0,"",_xlfn.XLOOKUP(C746,customers!$A$2:$A$1001,customers!$C$2:$C$1001,,0,1))</f>
        <v/>
      </c>
      <c r="H746" s="2" t="str">
        <f>_xlfn.XLOOKUP(C746, customers!$A$2:$A$1001, customers!$G$2:$G$1001, , 0, 1)</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t="str">
        <f>_xlfn.XLOOKUP(C747, customers!$A$2:$A$1001, customers!$B$2:$B$1001, , 0, 1)</f>
        <v>Jordana Halden</v>
      </c>
      <c r="G747" s="2" t="str">
        <f>IF(_xlfn.XLOOKUP(C747,customers!$A$2:$A$1001,customers!$C$2:$C$1001,,0,1)=0,"",_xlfn.XLOOKUP(C747,customers!$A$2:$A$1001,customers!$C$2:$C$1001,,0,1))</f>
        <v>jhaldenkp@comcast.net</v>
      </c>
      <c r="H747" s="2" t="str">
        <f>_xlfn.XLOOKUP(C747, customers!$A$2:$A$1001, customers!$G$2:$G$1001, , 0, 1)</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t="str">
        <f>_xlfn.XLOOKUP(C748, customers!$A$2:$A$1001, customers!$B$2:$B$1001, , 0, 1)</f>
        <v>Hussein Olliff</v>
      </c>
      <c r="G748" s="2" t="str">
        <f>IF(_xlfn.XLOOKUP(C748,customers!$A$2:$A$1001,customers!$C$2:$C$1001,,0,1)=0,"",_xlfn.XLOOKUP(C748,customers!$A$2:$A$1001,customers!$C$2:$C$1001,,0,1))</f>
        <v>holliffkq@sciencedirect.com</v>
      </c>
      <c r="H748" s="2" t="str">
        <f>_xlfn.XLOOKUP(C748, customers!$A$2:$A$1001, customers!$G$2:$G$1001, , 0, 1)</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t="str">
        <f>_xlfn.XLOOKUP(C749, customers!$A$2:$A$1001, customers!$B$2:$B$1001, , 0, 1)</f>
        <v>Teddi Quadri</v>
      </c>
      <c r="G749" s="2" t="str">
        <f>IF(_xlfn.XLOOKUP(C749,customers!$A$2:$A$1001,customers!$C$2:$C$1001,,0,1)=0,"",_xlfn.XLOOKUP(C749,customers!$A$2:$A$1001,customers!$C$2:$C$1001,,0,1))</f>
        <v>tquadrikr@opensource.org</v>
      </c>
      <c r="H749" s="2" t="str">
        <f>_xlfn.XLOOKUP(C749, customers!$A$2:$A$1001, customers!$G$2:$G$1001, , 0, 1)</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t="str">
        <f>_xlfn.XLOOKUP(C750, customers!$A$2:$A$1001, customers!$B$2:$B$1001, , 0, 1)</f>
        <v>Felita Eshmade</v>
      </c>
      <c r="G750" s="2" t="str">
        <f>IF(_xlfn.XLOOKUP(C750,customers!$A$2:$A$1001,customers!$C$2:$C$1001,,0,1)=0,"",_xlfn.XLOOKUP(C750,customers!$A$2:$A$1001,customers!$C$2:$C$1001,,0,1))</f>
        <v>feshmadeks@umn.edu</v>
      </c>
      <c r="H750" s="2" t="str">
        <f>_xlfn.XLOOKUP(C750, customers!$A$2:$A$1001, customers!$G$2:$G$1001, , 0, 1)</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t="str">
        <f>_xlfn.XLOOKUP(C751, customers!$A$2:$A$1001, customers!$B$2:$B$1001, , 0, 1)</f>
        <v>Melodie OIlier</v>
      </c>
      <c r="G751" s="2" t="str">
        <f>IF(_xlfn.XLOOKUP(C751,customers!$A$2:$A$1001,customers!$C$2:$C$1001,,0,1)=0,"",_xlfn.XLOOKUP(C751,customers!$A$2:$A$1001,customers!$C$2:$C$1001,,0,1))</f>
        <v>moilierkt@paginegialle.it</v>
      </c>
      <c r="H751" s="2" t="str">
        <f>_xlfn.XLOOKUP(C751, customers!$A$2:$A$1001, customers!$G$2:$G$1001, , 0, 1)</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t="str">
        <f>_xlfn.XLOOKUP(C752, customers!$A$2:$A$1001, customers!$B$2:$B$1001, , 0, 1)</f>
        <v>Hazel Iacopini</v>
      </c>
      <c r="G752" s="2" t="str">
        <f>IF(_xlfn.XLOOKUP(C752,customers!$A$2:$A$1001,customers!$C$2:$C$1001,,0,1)=0,"",_xlfn.XLOOKUP(C752,customers!$A$2:$A$1001,customers!$C$2:$C$1001,,0,1))</f>
        <v/>
      </c>
      <c r="H752" s="2" t="str">
        <f>_xlfn.XLOOKUP(C752, customers!$A$2:$A$1001, customers!$G$2:$G$1001, , 0, 1)</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t="str">
        <f>_xlfn.XLOOKUP(C753, customers!$A$2:$A$1001, customers!$B$2:$B$1001, , 0, 1)</f>
        <v>Vinny Shoebotham</v>
      </c>
      <c r="G753" s="2" t="str">
        <f>IF(_xlfn.XLOOKUP(C753,customers!$A$2:$A$1001,customers!$C$2:$C$1001,,0,1)=0,"",_xlfn.XLOOKUP(C753,customers!$A$2:$A$1001,customers!$C$2:$C$1001,,0,1))</f>
        <v>vshoebothamkv@redcross.org</v>
      </c>
      <c r="H753" s="2" t="str">
        <f>_xlfn.XLOOKUP(C753, customers!$A$2:$A$1001, customers!$G$2:$G$1001, , 0, 1)</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Large</v>
      </c>
      <c r="P753" t="str">
        <f>_xlfn.XLOOKUP(Orders[[#This Row],[Customer ID]],customers!$A$1:$A$1001,customers!$I$1:$I$1001,"",0)</f>
        <v>No</v>
      </c>
    </row>
    <row r="754" spans="1:16" x14ac:dyDescent="0.3">
      <c r="A754" s="2" t="s">
        <v>4741</v>
      </c>
      <c r="B754" s="3">
        <v>43648</v>
      </c>
      <c r="C754" s="2" t="s">
        <v>4742</v>
      </c>
      <c r="D754" t="s">
        <v>6141</v>
      </c>
      <c r="E754" s="2">
        <v>2</v>
      </c>
      <c r="F754" t="str">
        <f>_xlfn.XLOOKUP(C754, customers!$A$2:$A$1001, customers!$B$2:$B$1001, , 0, 1)</f>
        <v>Bran Sterke</v>
      </c>
      <c r="G754" s="2" t="str">
        <f>IF(_xlfn.XLOOKUP(C754,customers!$A$2:$A$1001,customers!$C$2:$C$1001,,0,1)=0,"",_xlfn.XLOOKUP(C754,customers!$A$2:$A$1001,customers!$C$2:$C$1001,,0,1))</f>
        <v>bsterkekw@biblegateway.com</v>
      </c>
      <c r="H754" s="2" t="str">
        <f>_xlfn.XLOOKUP(C754, customers!$A$2:$A$1001, customers!$G$2:$G$1001, , 0, 1)</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t="str">
        <f>_xlfn.XLOOKUP(C755, customers!$A$2:$A$1001, customers!$B$2:$B$1001, , 0, 1)</f>
        <v>Simone Capon</v>
      </c>
      <c r="G755" s="2" t="str">
        <f>IF(_xlfn.XLOOKUP(C755,customers!$A$2:$A$1001,customers!$C$2:$C$1001,,0,1)=0,"",_xlfn.XLOOKUP(C755,customers!$A$2:$A$1001,customers!$C$2:$C$1001,,0,1))</f>
        <v>scaponkx@craigslist.org</v>
      </c>
      <c r="H755" s="2" t="str">
        <f>_xlfn.XLOOKUP(C755, customers!$A$2:$A$1001, customers!$G$2:$G$1001, , 0, 1)</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t="str">
        <f>_xlfn.XLOOKUP(C756, customers!$A$2:$A$1001, customers!$B$2:$B$1001, , 0, 1)</f>
        <v>Jimmy Dymoke</v>
      </c>
      <c r="G756" s="2" t="str">
        <f>IF(_xlfn.XLOOKUP(C756,customers!$A$2:$A$1001,customers!$C$2:$C$1001,,0,1)=0,"",_xlfn.XLOOKUP(C756,customers!$A$2:$A$1001,customers!$C$2:$C$1001,,0,1))</f>
        <v>jdymokeje@prnewswire.com</v>
      </c>
      <c r="H756" s="2" t="str">
        <f>_xlfn.XLOOKUP(C756, customers!$A$2:$A$1001, customers!$G$2:$G$1001, , 0, 1)</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t="str">
        <f>_xlfn.XLOOKUP(C757, customers!$A$2:$A$1001, customers!$B$2:$B$1001, , 0, 1)</f>
        <v>Foster Constance</v>
      </c>
      <c r="G757" s="2" t="str">
        <f>IF(_xlfn.XLOOKUP(C757,customers!$A$2:$A$1001,customers!$C$2:$C$1001,,0,1)=0,"",_xlfn.XLOOKUP(C757,customers!$A$2:$A$1001,customers!$C$2:$C$1001,,0,1))</f>
        <v>fconstancekz@ifeng.com</v>
      </c>
      <c r="H757" s="2" t="str">
        <f>_xlfn.XLOOKUP(C757, customers!$A$2:$A$1001, customers!$G$2:$G$1001, , 0, 1)</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Large</v>
      </c>
      <c r="P757" t="str">
        <f>_xlfn.XLOOKUP(Orders[[#This Row],[Customer ID]],customers!$A$1:$A$1001,customers!$I$1:$I$1001,"",0)</f>
        <v>No</v>
      </c>
    </row>
    <row r="758" spans="1:16" x14ac:dyDescent="0.3">
      <c r="A758" s="2" t="s">
        <v>4764</v>
      </c>
      <c r="B758" s="3">
        <v>44715</v>
      </c>
      <c r="C758" s="2" t="s">
        <v>4765</v>
      </c>
      <c r="D758" t="s">
        <v>6177</v>
      </c>
      <c r="E758" s="2">
        <v>4</v>
      </c>
      <c r="F758" t="str">
        <f>_xlfn.XLOOKUP(C758, customers!$A$2:$A$1001, customers!$B$2:$B$1001, , 0, 1)</f>
        <v>Fernando Sulman</v>
      </c>
      <c r="G758" s="2" t="str">
        <f>IF(_xlfn.XLOOKUP(C758,customers!$A$2:$A$1001,customers!$C$2:$C$1001,,0,1)=0,"",_xlfn.XLOOKUP(C758,customers!$A$2:$A$1001,customers!$C$2:$C$1001,,0,1))</f>
        <v>fsulmanl0@washington.edu</v>
      </c>
      <c r="H758" s="2" t="str">
        <f>_xlfn.XLOOKUP(C758, customers!$A$2:$A$1001, customers!$G$2:$G$1001, , 0, 1)</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t="str">
        <f>_xlfn.XLOOKUP(C759, customers!$A$2:$A$1001, customers!$B$2:$B$1001, , 0, 1)</f>
        <v>Dorotea Hollyman</v>
      </c>
      <c r="G759" s="2" t="str">
        <f>IF(_xlfn.XLOOKUP(C759,customers!$A$2:$A$1001,customers!$C$2:$C$1001,,0,1)=0,"",_xlfn.XLOOKUP(C759,customers!$A$2:$A$1001,customers!$C$2:$C$1001,,0,1))</f>
        <v>dhollymanl1@ibm.com</v>
      </c>
      <c r="H759" s="2" t="str">
        <f>_xlfn.XLOOKUP(C759, customers!$A$2:$A$1001, customers!$G$2:$G$1001, , 0, 1)</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t="str">
        <f>_xlfn.XLOOKUP(C760, customers!$A$2:$A$1001, customers!$B$2:$B$1001, , 0, 1)</f>
        <v>Lorelei Nardoni</v>
      </c>
      <c r="G760" s="2" t="str">
        <f>IF(_xlfn.XLOOKUP(C760,customers!$A$2:$A$1001,customers!$C$2:$C$1001,,0,1)=0,"",_xlfn.XLOOKUP(C760,customers!$A$2:$A$1001,customers!$C$2:$C$1001,,0,1))</f>
        <v>lnardonil2@hao123.com</v>
      </c>
      <c r="H760" s="2" t="str">
        <f>_xlfn.XLOOKUP(C760, customers!$A$2:$A$1001, customers!$G$2:$G$1001, , 0, 1)</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t="str">
        <f>_xlfn.XLOOKUP(C761, customers!$A$2:$A$1001, customers!$B$2:$B$1001, , 0, 1)</f>
        <v>Dallas Yarham</v>
      </c>
      <c r="G761" s="2" t="str">
        <f>IF(_xlfn.XLOOKUP(C761,customers!$A$2:$A$1001,customers!$C$2:$C$1001,,0,1)=0,"",_xlfn.XLOOKUP(C761,customers!$A$2:$A$1001,customers!$C$2:$C$1001,,0,1))</f>
        <v>dyarhaml3@moonfruit.com</v>
      </c>
      <c r="H761" s="2" t="str">
        <f>_xlfn.XLOOKUP(C761, customers!$A$2:$A$1001, customers!$G$2:$G$1001, , 0, 1)</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t="str">
        <f>_xlfn.XLOOKUP(C762, customers!$A$2:$A$1001, customers!$B$2:$B$1001, , 0, 1)</f>
        <v>Arlana Ferrea</v>
      </c>
      <c r="G762" s="2" t="str">
        <f>IF(_xlfn.XLOOKUP(C762,customers!$A$2:$A$1001,customers!$C$2:$C$1001,,0,1)=0,"",_xlfn.XLOOKUP(C762,customers!$A$2:$A$1001,customers!$C$2:$C$1001,,0,1))</f>
        <v>aferreal4@wikia.com</v>
      </c>
      <c r="H762" s="2" t="str">
        <f>_xlfn.XLOOKUP(C762, customers!$A$2:$A$1001, customers!$G$2:$G$1001, , 0, 1)</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Large</v>
      </c>
      <c r="P762" t="str">
        <f>_xlfn.XLOOKUP(Orders[[#This Row],[Customer ID]],customers!$A$1:$A$1001,customers!$I$1:$I$1001,"",0)</f>
        <v>No</v>
      </c>
    </row>
    <row r="763" spans="1:16" x14ac:dyDescent="0.3">
      <c r="A763" s="2" t="s">
        <v>4792</v>
      </c>
      <c r="B763" s="3">
        <v>43714</v>
      </c>
      <c r="C763" s="2" t="s">
        <v>4793</v>
      </c>
      <c r="D763" t="s">
        <v>6171</v>
      </c>
      <c r="E763" s="2">
        <v>6</v>
      </c>
      <c r="F763" t="str">
        <f>_xlfn.XLOOKUP(C763, customers!$A$2:$A$1001, customers!$B$2:$B$1001, , 0, 1)</f>
        <v>Chuck Kendrick</v>
      </c>
      <c r="G763" s="2" t="str">
        <f>IF(_xlfn.XLOOKUP(C763,customers!$A$2:$A$1001,customers!$C$2:$C$1001,,0,1)=0,"",_xlfn.XLOOKUP(C763,customers!$A$2:$A$1001,customers!$C$2:$C$1001,,0,1))</f>
        <v>ckendrickl5@webnode.com</v>
      </c>
      <c r="H763" s="2" t="str">
        <f>_xlfn.XLOOKUP(C763, customers!$A$2:$A$1001, customers!$G$2:$G$1001, , 0, 1)</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Large</v>
      </c>
      <c r="P763" t="str">
        <f>_xlfn.XLOOKUP(Orders[[#This Row],[Customer ID]],customers!$A$1:$A$1001,customers!$I$1:$I$1001,"",0)</f>
        <v>Yes</v>
      </c>
    </row>
    <row r="764" spans="1:16" x14ac:dyDescent="0.3">
      <c r="A764" s="2" t="s">
        <v>4797</v>
      </c>
      <c r="B764" s="3">
        <v>43563</v>
      </c>
      <c r="C764" s="2" t="s">
        <v>4798</v>
      </c>
      <c r="D764" t="s">
        <v>6160</v>
      </c>
      <c r="E764" s="2">
        <v>5</v>
      </c>
      <c r="F764" t="str">
        <f>_xlfn.XLOOKUP(C764, customers!$A$2:$A$1001, customers!$B$2:$B$1001, , 0, 1)</f>
        <v>Sharona Danilchik</v>
      </c>
      <c r="G764" s="2" t="str">
        <f>IF(_xlfn.XLOOKUP(C764,customers!$A$2:$A$1001,customers!$C$2:$C$1001,,0,1)=0,"",_xlfn.XLOOKUP(C764,customers!$A$2:$A$1001,customers!$C$2:$C$1001,,0,1))</f>
        <v>sdanilchikl6@mit.edu</v>
      </c>
      <c r="H764" s="2" t="str">
        <f>_xlfn.XLOOKUP(C764, customers!$A$2:$A$1001, customers!$G$2:$G$1001, , 0, 1)</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t="str">
        <f>_xlfn.XLOOKUP(C765, customers!$A$2:$A$1001, customers!$B$2:$B$1001, , 0, 1)</f>
        <v>Sarajane Potter</v>
      </c>
      <c r="G765" s="2" t="str">
        <f>IF(_xlfn.XLOOKUP(C765,customers!$A$2:$A$1001,customers!$C$2:$C$1001,,0,1)=0,"",_xlfn.XLOOKUP(C765,customers!$A$2:$A$1001,customers!$C$2:$C$1001,,0,1))</f>
        <v/>
      </c>
      <c r="H765" s="2" t="str">
        <f>_xlfn.XLOOKUP(C765, customers!$A$2:$A$1001, customers!$G$2:$G$1001, , 0, 1)</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Large</v>
      </c>
      <c r="P765" t="str">
        <f>_xlfn.XLOOKUP(Orders[[#This Row],[Customer ID]],customers!$A$1:$A$1001,customers!$I$1:$I$1001,"",0)</f>
        <v>No</v>
      </c>
    </row>
    <row r="766" spans="1:16" x14ac:dyDescent="0.3">
      <c r="A766" s="2" t="s">
        <v>4808</v>
      </c>
      <c r="B766" s="3">
        <v>43797</v>
      </c>
      <c r="C766" s="2" t="s">
        <v>4809</v>
      </c>
      <c r="D766" t="s">
        <v>6182</v>
      </c>
      <c r="E766" s="2">
        <v>6</v>
      </c>
      <c r="F766" t="str">
        <f>_xlfn.XLOOKUP(C766, customers!$A$2:$A$1001, customers!$B$2:$B$1001, , 0, 1)</f>
        <v>Bobby Folomkin</v>
      </c>
      <c r="G766" s="2" t="str">
        <f>IF(_xlfn.XLOOKUP(C766,customers!$A$2:$A$1001,customers!$C$2:$C$1001,,0,1)=0,"",_xlfn.XLOOKUP(C766,customers!$A$2:$A$1001,customers!$C$2:$C$1001,,0,1))</f>
        <v>bfolomkinl8@yolasite.com</v>
      </c>
      <c r="H766" s="2" t="str">
        <f>_xlfn.XLOOKUP(C766, customers!$A$2:$A$1001, customers!$G$2:$G$1001, , 0, 1)</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Large</v>
      </c>
      <c r="P766" t="str">
        <f>_xlfn.XLOOKUP(Orders[[#This Row],[Customer ID]],customers!$A$1:$A$1001,customers!$I$1:$I$1001,"",0)</f>
        <v>Yes</v>
      </c>
    </row>
    <row r="767" spans="1:16" x14ac:dyDescent="0.3">
      <c r="A767" s="2" t="s">
        <v>4814</v>
      </c>
      <c r="B767" s="3">
        <v>43667</v>
      </c>
      <c r="C767" s="2" t="s">
        <v>4815</v>
      </c>
      <c r="D767" t="s">
        <v>6138</v>
      </c>
      <c r="E767" s="2">
        <v>6</v>
      </c>
      <c r="F767" t="str">
        <f>_xlfn.XLOOKUP(C767, customers!$A$2:$A$1001, customers!$B$2:$B$1001, , 0, 1)</f>
        <v>Rafferty Pursglove</v>
      </c>
      <c r="G767" s="2" t="str">
        <f>IF(_xlfn.XLOOKUP(C767,customers!$A$2:$A$1001,customers!$C$2:$C$1001,,0,1)=0,"",_xlfn.XLOOKUP(C767,customers!$A$2:$A$1001,customers!$C$2:$C$1001,,0,1))</f>
        <v>rpursglovel9@biblegateway.com</v>
      </c>
      <c r="H767" s="2" t="str">
        <f>_xlfn.XLOOKUP(C767, customers!$A$2:$A$1001, customers!$G$2:$G$1001, , 0, 1)</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t="str">
        <f>_xlfn.XLOOKUP(C768, customers!$A$2:$A$1001, customers!$B$2:$B$1001, , 0, 1)</f>
        <v>Rafferty Pursglove</v>
      </c>
      <c r="G768" s="2" t="str">
        <f>IF(_xlfn.XLOOKUP(C768,customers!$A$2:$A$1001,customers!$C$2:$C$1001,,0,1)=0,"",_xlfn.XLOOKUP(C768,customers!$A$2:$A$1001,customers!$C$2:$C$1001,,0,1))</f>
        <v>rpursglovel9@biblegateway.com</v>
      </c>
      <c r="H768" s="2" t="str">
        <f>_xlfn.XLOOKUP(C768, customers!$A$2:$A$1001, customers!$G$2:$G$1001, , 0, 1)</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Large</v>
      </c>
      <c r="P768" t="str">
        <f>_xlfn.XLOOKUP(Orders[[#This Row],[Customer ID]],customers!$A$1:$A$1001,customers!$I$1:$I$1001,"",0)</f>
        <v>Yes</v>
      </c>
    </row>
    <row r="769" spans="1:16" x14ac:dyDescent="0.3">
      <c r="A769" s="2" t="s">
        <v>4825</v>
      </c>
      <c r="B769" s="3">
        <v>44267</v>
      </c>
      <c r="C769" s="2" t="s">
        <v>4759</v>
      </c>
      <c r="D769" t="s">
        <v>6182</v>
      </c>
      <c r="E769" s="2">
        <v>3</v>
      </c>
      <c r="F769" t="str">
        <f>_xlfn.XLOOKUP(C769, customers!$A$2:$A$1001, customers!$B$2:$B$1001, , 0, 1)</f>
        <v>Foster Constance</v>
      </c>
      <c r="G769" s="2" t="str">
        <f>IF(_xlfn.XLOOKUP(C769,customers!$A$2:$A$1001,customers!$C$2:$C$1001,,0,1)=0,"",_xlfn.XLOOKUP(C769,customers!$A$2:$A$1001,customers!$C$2:$C$1001,,0,1))</f>
        <v>fconstancekz@ifeng.com</v>
      </c>
      <c r="H769" s="2" t="str">
        <f>_xlfn.XLOOKUP(C769, customers!$A$2:$A$1001, customers!$G$2:$G$1001, , 0, 1)</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Large</v>
      </c>
      <c r="P769" t="str">
        <f>_xlfn.XLOOKUP(Orders[[#This Row],[Customer ID]],customers!$A$1:$A$1001,customers!$I$1:$I$1001,"",0)</f>
        <v>No</v>
      </c>
    </row>
    <row r="770" spans="1:16" x14ac:dyDescent="0.3">
      <c r="A770" s="2" t="s">
        <v>4831</v>
      </c>
      <c r="B770" s="3">
        <v>44562</v>
      </c>
      <c r="C770" s="2" t="s">
        <v>4759</v>
      </c>
      <c r="D770" t="s">
        <v>6179</v>
      </c>
      <c r="E770" s="2">
        <v>2</v>
      </c>
      <c r="F770" t="str">
        <f>_xlfn.XLOOKUP(C770, customers!$A$2:$A$1001, customers!$B$2:$B$1001, , 0, 1)</f>
        <v>Foster Constance</v>
      </c>
      <c r="G770" s="2" t="str">
        <f>IF(_xlfn.XLOOKUP(C770,customers!$A$2:$A$1001,customers!$C$2:$C$1001,,0,1)=0,"",_xlfn.XLOOKUP(C770,customers!$A$2:$A$1001,customers!$C$2:$C$1001,,0,1))</f>
        <v>fconstancekz@ifeng.com</v>
      </c>
      <c r="H770" s="2" t="str">
        <f>_xlfn.XLOOKUP(C770, customers!$A$2:$A$1001, customers!$G$2:$G$1001, , 0, 1)</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Large</v>
      </c>
      <c r="P770" t="str">
        <f>_xlfn.XLOOKUP(Orders[[#This Row],[Customer ID]],customers!$A$1:$A$1001,customers!$I$1:$I$1001,"",0)</f>
        <v>No</v>
      </c>
    </row>
    <row r="771" spans="1:16" x14ac:dyDescent="0.3">
      <c r="A771" s="2" t="s">
        <v>4836</v>
      </c>
      <c r="B771" s="3">
        <v>43912</v>
      </c>
      <c r="C771" s="2" t="s">
        <v>4837</v>
      </c>
      <c r="D771" t="s">
        <v>6151</v>
      </c>
      <c r="E771" s="2">
        <v>6</v>
      </c>
      <c r="F771" t="str">
        <f>_xlfn.XLOOKUP(C771, customers!$A$2:$A$1001, customers!$B$2:$B$1001, , 0, 1)</f>
        <v>Dalia Eburah</v>
      </c>
      <c r="G771" s="2" t="str">
        <f>IF(_xlfn.XLOOKUP(C771,customers!$A$2:$A$1001,customers!$C$2:$C$1001,,0,1)=0,"",_xlfn.XLOOKUP(C771,customers!$A$2:$A$1001,customers!$C$2:$C$1001,,0,1))</f>
        <v>deburahld@google.co.jp</v>
      </c>
      <c r="H771" s="2" t="str">
        <f>_xlfn.XLOOKUP(C771, customers!$A$2:$A$1001, customers!$G$2:$G$1001, , 0, 1)</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IF(J771="M","Medium",IF(J771="L","Large",IF(J771="D","Dark","")))</f>
        <v>Medium</v>
      </c>
      <c r="P771" t="str">
        <f>_xlfn.XLOOKUP(Orders[[#This Row],[Customer ID]],customers!$A$1:$A$1001,customers!$I$1:$I$1001,"",0)</f>
        <v>No</v>
      </c>
    </row>
    <row r="772" spans="1:16" x14ac:dyDescent="0.3">
      <c r="A772" s="2" t="s">
        <v>4842</v>
      </c>
      <c r="B772" s="3">
        <v>44092</v>
      </c>
      <c r="C772" s="2" t="s">
        <v>4843</v>
      </c>
      <c r="D772" t="s">
        <v>6147</v>
      </c>
      <c r="E772" s="2">
        <v>1</v>
      </c>
      <c r="F772" t="str">
        <f>_xlfn.XLOOKUP(C772, customers!$A$2:$A$1001, customers!$B$2:$B$1001, , 0, 1)</f>
        <v>Martie Brimilcombe</v>
      </c>
      <c r="G772" s="2" t="str">
        <f>IF(_xlfn.XLOOKUP(C772,customers!$A$2:$A$1001,customers!$C$2:$C$1001,,0,1)=0,"",_xlfn.XLOOKUP(C772,customers!$A$2:$A$1001,customers!$C$2:$C$1001,,0,1))</f>
        <v>mbrimilcombele@cnn.com</v>
      </c>
      <c r="H772" s="2" t="str">
        <f>_xlfn.XLOOKUP(C772, customers!$A$2:$A$1001, customers!$G$2:$G$1001, , 0, 1)</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t="str">
        <f>_xlfn.XLOOKUP(C773, customers!$A$2:$A$1001, customers!$B$2:$B$1001, , 0, 1)</f>
        <v>Suzanna Bollam</v>
      </c>
      <c r="G773" s="2" t="str">
        <f>IF(_xlfn.XLOOKUP(C773,customers!$A$2:$A$1001,customers!$C$2:$C$1001,,0,1)=0,"",_xlfn.XLOOKUP(C773,customers!$A$2:$A$1001,customers!$C$2:$C$1001,,0,1))</f>
        <v>sbollamlf@list-manage.com</v>
      </c>
      <c r="H773" s="2" t="str">
        <f>_xlfn.XLOOKUP(C773, customers!$A$2:$A$1001, customers!$G$2:$G$1001, , 0, 1)</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Large</v>
      </c>
      <c r="P773" t="str">
        <f>_xlfn.XLOOKUP(Orders[[#This Row],[Customer ID]],customers!$A$1:$A$1001,customers!$I$1:$I$1001,"",0)</f>
        <v>No</v>
      </c>
    </row>
    <row r="774" spans="1:16" x14ac:dyDescent="0.3">
      <c r="A774" s="2" t="s">
        <v>4853</v>
      </c>
      <c r="B774" s="3">
        <v>44468</v>
      </c>
      <c r="C774" s="2" t="s">
        <v>4854</v>
      </c>
      <c r="D774" t="s">
        <v>6141</v>
      </c>
      <c r="E774" s="2">
        <v>6</v>
      </c>
      <c r="F774" t="str">
        <f>_xlfn.XLOOKUP(C774, customers!$A$2:$A$1001, customers!$B$2:$B$1001, , 0, 1)</f>
        <v>Mellisa Mebes</v>
      </c>
      <c r="G774" s="2" t="str">
        <f>IF(_xlfn.XLOOKUP(C774,customers!$A$2:$A$1001,customers!$C$2:$C$1001,,0,1)=0,"",_xlfn.XLOOKUP(C774,customers!$A$2:$A$1001,customers!$C$2:$C$1001,,0,1))</f>
        <v/>
      </c>
      <c r="H774" s="2" t="str">
        <f>_xlfn.XLOOKUP(C774, customers!$A$2:$A$1001, customers!$G$2:$G$1001, , 0, 1)</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t="str">
        <f>_xlfn.XLOOKUP(C775, customers!$A$2:$A$1001, customers!$B$2:$B$1001, , 0, 1)</f>
        <v>Alva Filipczak</v>
      </c>
      <c r="G775" s="2" t="str">
        <f>IF(_xlfn.XLOOKUP(C775,customers!$A$2:$A$1001,customers!$C$2:$C$1001,,0,1)=0,"",_xlfn.XLOOKUP(C775,customers!$A$2:$A$1001,customers!$C$2:$C$1001,,0,1))</f>
        <v>afilipczaklh@ning.com</v>
      </c>
      <c r="H775" s="2" t="str">
        <f>_xlfn.XLOOKUP(C775, customers!$A$2:$A$1001, customers!$G$2:$G$1001, , 0, 1)</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t="str">
        <f>_xlfn.XLOOKUP(C776, customers!$A$2:$A$1001, customers!$B$2:$B$1001, , 0, 1)</f>
        <v>Dorette Hinemoor</v>
      </c>
      <c r="G776" s="2" t="str">
        <f>IF(_xlfn.XLOOKUP(C776,customers!$A$2:$A$1001,customers!$C$2:$C$1001,,0,1)=0,"",_xlfn.XLOOKUP(C776,customers!$A$2:$A$1001,customers!$C$2:$C$1001,,0,1))</f>
        <v/>
      </c>
      <c r="H776" s="2" t="str">
        <f>_xlfn.XLOOKUP(C776, customers!$A$2:$A$1001, customers!$G$2:$G$1001, , 0, 1)</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t="str">
        <f>_xlfn.XLOOKUP(C777, customers!$A$2:$A$1001, customers!$B$2:$B$1001, , 0, 1)</f>
        <v>Rhetta Elnaugh</v>
      </c>
      <c r="G777" s="2" t="str">
        <f>IF(_xlfn.XLOOKUP(C777,customers!$A$2:$A$1001,customers!$C$2:$C$1001,,0,1)=0,"",_xlfn.XLOOKUP(C777,customers!$A$2:$A$1001,customers!$C$2:$C$1001,,0,1))</f>
        <v>relnaughlj@comsenz.com</v>
      </c>
      <c r="H777" s="2" t="str">
        <f>_xlfn.XLOOKUP(C777, customers!$A$2:$A$1001, customers!$G$2:$G$1001, , 0, 1)</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Large</v>
      </c>
      <c r="P777" t="str">
        <f>_xlfn.XLOOKUP(Orders[[#This Row],[Customer ID]],customers!$A$1:$A$1001,customers!$I$1:$I$1001,"",0)</f>
        <v>Yes</v>
      </c>
    </row>
    <row r="778" spans="1:16" x14ac:dyDescent="0.3">
      <c r="A778" s="2" t="s">
        <v>4875</v>
      </c>
      <c r="B778" s="3">
        <v>44540</v>
      </c>
      <c r="C778" s="2" t="s">
        <v>4876</v>
      </c>
      <c r="D778" t="s">
        <v>6157</v>
      </c>
      <c r="E778" s="2">
        <v>3</v>
      </c>
      <c r="F778" t="str">
        <f>_xlfn.XLOOKUP(C778, customers!$A$2:$A$1001, customers!$B$2:$B$1001, , 0, 1)</f>
        <v>Jule Deehan</v>
      </c>
      <c r="G778" s="2" t="str">
        <f>IF(_xlfn.XLOOKUP(C778,customers!$A$2:$A$1001,customers!$C$2:$C$1001,,0,1)=0,"",_xlfn.XLOOKUP(C778,customers!$A$2:$A$1001,customers!$C$2:$C$1001,,0,1))</f>
        <v>jdeehanlk@about.me</v>
      </c>
      <c r="H778" s="2" t="str">
        <f>_xlfn.XLOOKUP(C778, customers!$A$2:$A$1001, customers!$G$2:$G$1001, , 0, 1)</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t="str">
        <f>_xlfn.XLOOKUP(C779, customers!$A$2:$A$1001, customers!$B$2:$B$1001, , 0, 1)</f>
        <v>Janella Eden</v>
      </c>
      <c r="G779" s="2" t="str">
        <f>IF(_xlfn.XLOOKUP(C779,customers!$A$2:$A$1001,customers!$C$2:$C$1001,,0,1)=0,"",_xlfn.XLOOKUP(C779,customers!$A$2:$A$1001,customers!$C$2:$C$1001,,0,1))</f>
        <v>jedenll@e-recht24.de</v>
      </c>
      <c r="H779" s="2" t="str">
        <f>_xlfn.XLOOKUP(C779, customers!$A$2:$A$1001, customers!$G$2:$G$1001, , 0, 1)</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Large</v>
      </c>
      <c r="P779" t="str">
        <f>_xlfn.XLOOKUP(Orders[[#This Row],[Customer ID]],customers!$A$1:$A$1001,customers!$I$1:$I$1001,"",0)</f>
        <v>No</v>
      </c>
    </row>
    <row r="780" spans="1:16" x14ac:dyDescent="0.3">
      <c r="A780" s="2" t="s">
        <v>4886</v>
      </c>
      <c r="B780" s="3">
        <v>43889</v>
      </c>
      <c r="C780" s="2" t="s">
        <v>4933</v>
      </c>
      <c r="D780" t="s">
        <v>6161</v>
      </c>
      <c r="E780" s="2">
        <v>2</v>
      </c>
      <c r="F780" t="str">
        <f>_xlfn.XLOOKUP(C780, customers!$A$2:$A$1001, customers!$B$2:$B$1001, , 0, 1)</f>
        <v>Cam Jewster</v>
      </c>
      <c r="G780" s="2" t="str">
        <f>IF(_xlfn.XLOOKUP(C780,customers!$A$2:$A$1001,customers!$C$2:$C$1001,,0,1)=0,"",_xlfn.XLOOKUP(C780,customers!$A$2:$A$1001,customers!$C$2:$C$1001,,0,1))</f>
        <v>cjewsterlu@moonfruit.com</v>
      </c>
      <c r="H780" s="2" t="str">
        <f>_xlfn.XLOOKUP(C780, customers!$A$2:$A$1001, customers!$G$2:$G$1001, , 0, 1)</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Large</v>
      </c>
      <c r="P780" t="str">
        <f>_xlfn.XLOOKUP(Orders[[#This Row],[Customer ID]],customers!$A$1:$A$1001,customers!$I$1:$I$1001,"",0)</f>
        <v>Yes</v>
      </c>
    </row>
    <row r="781" spans="1:16" x14ac:dyDescent="0.3">
      <c r="A781" s="2" t="s">
        <v>4892</v>
      </c>
      <c r="B781" s="3">
        <v>43985</v>
      </c>
      <c r="C781" s="2" t="s">
        <v>4893</v>
      </c>
      <c r="D781" t="s">
        <v>6143</v>
      </c>
      <c r="E781" s="2">
        <v>6</v>
      </c>
      <c r="F781" t="str">
        <f>_xlfn.XLOOKUP(C781, customers!$A$2:$A$1001, customers!$B$2:$B$1001, , 0, 1)</f>
        <v>Ugo Southerden</v>
      </c>
      <c r="G781" s="2" t="str">
        <f>IF(_xlfn.XLOOKUP(C781,customers!$A$2:$A$1001,customers!$C$2:$C$1001,,0,1)=0,"",_xlfn.XLOOKUP(C781,customers!$A$2:$A$1001,customers!$C$2:$C$1001,,0,1))</f>
        <v>usoutherdenln@hao123.com</v>
      </c>
      <c r="H781" s="2" t="str">
        <f>_xlfn.XLOOKUP(C781, customers!$A$2:$A$1001, customers!$G$2:$G$1001, , 0, 1)</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t="str">
        <f>_xlfn.XLOOKUP(C782, customers!$A$2:$A$1001, customers!$B$2:$B$1001, , 0, 1)</f>
        <v>Verne Dunkerley</v>
      </c>
      <c r="G782" s="2" t="str">
        <f>IF(_xlfn.XLOOKUP(C782,customers!$A$2:$A$1001,customers!$C$2:$C$1001,,0,1)=0,"",_xlfn.XLOOKUP(C782,customers!$A$2:$A$1001,customers!$C$2:$C$1001,,0,1))</f>
        <v/>
      </c>
      <c r="H782" s="2" t="str">
        <f>_xlfn.XLOOKUP(C782, customers!$A$2:$A$1001, customers!$G$2:$G$1001, , 0, 1)</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t="str">
        <f>_xlfn.XLOOKUP(C783, customers!$A$2:$A$1001, customers!$B$2:$B$1001, , 0, 1)</f>
        <v>Lacee Burtenshaw</v>
      </c>
      <c r="G783" s="2" t="str">
        <f>IF(_xlfn.XLOOKUP(C783,customers!$A$2:$A$1001,customers!$C$2:$C$1001,,0,1)=0,"",_xlfn.XLOOKUP(C783,customers!$A$2:$A$1001,customers!$C$2:$C$1001,,0,1))</f>
        <v>lburtenshawlp@shinystat.com</v>
      </c>
      <c r="H783" s="2" t="str">
        <f>_xlfn.XLOOKUP(C783, customers!$A$2:$A$1001, customers!$G$2:$G$1001, , 0, 1)</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Large</v>
      </c>
      <c r="P783" t="str">
        <f>_xlfn.XLOOKUP(Orders[[#This Row],[Customer ID]],customers!$A$1:$A$1001,customers!$I$1:$I$1001,"",0)</f>
        <v>No</v>
      </c>
    </row>
    <row r="784" spans="1:16" x14ac:dyDescent="0.3">
      <c r="A784" s="2" t="s">
        <v>4909</v>
      </c>
      <c r="B784" s="3">
        <v>43897</v>
      </c>
      <c r="C784" s="2" t="s">
        <v>4910</v>
      </c>
      <c r="D784" t="s">
        <v>6184</v>
      </c>
      <c r="E784" s="2">
        <v>6</v>
      </c>
      <c r="F784" t="str">
        <f>_xlfn.XLOOKUP(C784, customers!$A$2:$A$1001, customers!$B$2:$B$1001, , 0, 1)</f>
        <v>Adorne Gregoratti</v>
      </c>
      <c r="G784" s="2" t="str">
        <f>IF(_xlfn.XLOOKUP(C784,customers!$A$2:$A$1001,customers!$C$2:$C$1001,,0,1)=0,"",_xlfn.XLOOKUP(C784,customers!$A$2:$A$1001,customers!$C$2:$C$1001,,0,1))</f>
        <v>agregorattilq@vistaprint.com</v>
      </c>
      <c r="H784" s="2" t="str">
        <f>_xlfn.XLOOKUP(C784, customers!$A$2:$A$1001, customers!$G$2:$G$1001, , 0, 1)</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Large</v>
      </c>
      <c r="P784" t="str">
        <f>_xlfn.XLOOKUP(Orders[[#This Row],[Customer ID]],customers!$A$1:$A$1001,customers!$I$1:$I$1001,"",0)</f>
        <v>No</v>
      </c>
    </row>
    <row r="785" spans="1:16" x14ac:dyDescent="0.3">
      <c r="A785" s="2" t="s">
        <v>4915</v>
      </c>
      <c r="B785" s="3">
        <v>44312</v>
      </c>
      <c r="C785" s="2" t="s">
        <v>4916</v>
      </c>
      <c r="D785" t="s">
        <v>6160</v>
      </c>
      <c r="E785" s="2">
        <v>5</v>
      </c>
      <c r="F785" t="str">
        <f>_xlfn.XLOOKUP(C785, customers!$A$2:$A$1001, customers!$B$2:$B$1001, , 0, 1)</f>
        <v>Chris Croster</v>
      </c>
      <c r="G785" s="2" t="str">
        <f>IF(_xlfn.XLOOKUP(C785,customers!$A$2:$A$1001,customers!$C$2:$C$1001,,0,1)=0,"",_xlfn.XLOOKUP(C785,customers!$A$2:$A$1001,customers!$C$2:$C$1001,,0,1))</f>
        <v>ccrosterlr@gov.uk</v>
      </c>
      <c r="H785" s="2" t="str">
        <f>_xlfn.XLOOKUP(C785, customers!$A$2:$A$1001, customers!$G$2:$G$1001, , 0, 1)</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t="str">
        <f>_xlfn.XLOOKUP(C786, customers!$A$2:$A$1001, customers!$B$2:$B$1001, , 0, 1)</f>
        <v>Graeme Whitehead</v>
      </c>
      <c r="G786" s="2" t="str">
        <f>IF(_xlfn.XLOOKUP(C786,customers!$A$2:$A$1001,customers!$C$2:$C$1001,,0,1)=0,"",_xlfn.XLOOKUP(C786,customers!$A$2:$A$1001,customers!$C$2:$C$1001,,0,1))</f>
        <v>gwhiteheadls@hp.com</v>
      </c>
      <c r="H786" s="2" t="str">
        <f>_xlfn.XLOOKUP(C786, customers!$A$2:$A$1001, customers!$G$2:$G$1001, , 0, 1)</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Large</v>
      </c>
      <c r="P786" t="str">
        <f>_xlfn.XLOOKUP(Orders[[#This Row],[Customer ID]],customers!$A$1:$A$1001,customers!$I$1:$I$1001,"",0)</f>
        <v>No</v>
      </c>
    </row>
    <row r="787" spans="1:16" x14ac:dyDescent="0.3">
      <c r="A787" s="2" t="s">
        <v>4926</v>
      </c>
      <c r="B787" s="3">
        <v>44362</v>
      </c>
      <c r="C787" s="2" t="s">
        <v>4927</v>
      </c>
      <c r="D787" t="s">
        <v>6168</v>
      </c>
      <c r="E787" s="2">
        <v>1</v>
      </c>
      <c r="F787" t="str">
        <f>_xlfn.XLOOKUP(C787, customers!$A$2:$A$1001, customers!$B$2:$B$1001, , 0, 1)</f>
        <v>Haslett Jodrelle</v>
      </c>
      <c r="G787" s="2" t="str">
        <f>IF(_xlfn.XLOOKUP(C787,customers!$A$2:$A$1001,customers!$C$2:$C$1001,,0,1)=0,"",_xlfn.XLOOKUP(C787,customers!$A$2:$A$1001,customers!$C$2:$C$1001,,0,1))</f>
        <v>hjodrellelt@samsung.com</v>
      </c>
      <c r="H787" s="2" t="str">
        <f>_xlfn.XLOOKUP(C787, customers!$A$2:$A$1001, customers!$G$2:$G$1001, , 0, 1)</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t="str">
        <f>_xlfn.XLOOKUP(C788, customers!$A$2:$A$1001, customers!$B$2:$B$1001, , 0, 1)</f>
        <v>Cam Jewster</v>
      </c>
      <c r="G788" s="2" t="str">
        <f>IF(_xlfn.XLOOKUP(C788,customers!$A$2:$A$1001,customers!$C$2:$C$1001,,0,1)=0,"",_xlfn.XLOOKUP(C788,customers!$A$2:$A$1001,customers!$C$2:$C$1001,,0,1))</f>
        <v>cjewsterlu@moonfruit.com</v>
      </c>
      <c r="H788" s="2" t="str">
        <f>_xlfn.XLOOKUP(C788, customers!$A$2:$A$1001, customers!$G$2:$G$1001, , 0, 1)</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t="str">
        <f>_xlfn.XLOOKUP(C789, customers!$A$2:$A$1001, customers!$B$2:$B$1001, , 0, 1)</f>
        <v>Beryl Osborn</v>
      </c>
      <c r="G789" s="2" t="str">
        <f>IF(_xlfn.XLOOKUP(C789,customers!$A$2:$A$1001,customers!$C$2:$C$1001,,0,1)=0,"",_xlfn.XLOOKUP(C789,customers!$A$2:$A$1001,customers!$C$2:$C$1001,,0,1))</f>
        <v/>
      </c>
      <c r="H789" s="2" t="str">
        <f>_xlfn.XLOOKUP(C789, customers!$A$2:$A$1001, customers!$G$2:$G$1001, , 0, 1)</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t="str">
        <f>_xlfn.XLOOKUP(C790, customers!$A$2:$A$1001, customers!$B$2:$B$1001, , 0, 1)</f>
        <v>Kaela Nottram</v>
      </c>
      <c r="G790" s="2" t="str">
        <f>IF(_xlfn.XLOOKUP(C790,customers!$A$2:$A$1001,customers!$C$2:$C$1001,,0,1)=0,"",_xlfn.XLOOKUP(C790,customers!$A$2:$A$1001,customers!$C$2:$C$1001,,0,1))</f>
        <v>knottramlw@odnoklassniki.ru</v>
      </c>
      <c r="H790" s="2" t="str">
        <f>_xlfn.XLOOKUP(C790, customers!$A$2:$A$1001, customers!$G$2:$G$1001, , 0, 1)</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t="str">
        <f>_xlfn.XLOOKUP(C791, customers!$A$2:$A$1001, customers!$B$2:$B$1001, , 0, 1)</f>
        <v>Nobe Buney</v>
      </c>
      <c r="G791" s="2" t="str">
        <f>IF(_xlfn.XLOOKUP(C791,customers!$A$2:$A$1001,customers!$C$2:$C$1001,,0,1)=0,"",_xlfn.XLOOKUP(C791,customers!$A$2:$A$1001,customers!$C$2:$C$1001,,0,1))</f>
        <v>nbuneylx@jugem.jp</v>
      </c>
      <c r="H791" s="2" t="str">
        <f>_xlfn.XLOOKUP(C791, customers!$A$2:$A$1001, customers!$G$2:$G$1001, , 0, 1)</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Large</v>
      </c>
      <c r="P791" t="str">
        <f>_xlfn.XLOOKUP(Orders[[#This Row],[Customer ID]],customers!$A$1:$A$1001,customers!$I$1:$I$1001,"",0)</f>
        <v>No</v>
      </c>
    </row>
    <row r="792" spans="1:16" x14ac:dyDescent="0.3">
      <c r="A792" s="2" t="s">
        <v>4955</v>
      </c>
      <c r="B792" s="3">
        <v>44613</v>
      </c>
      <c r="C792" s="2" t="s">
        <v>4956</v>
      </c>
      <c r="D792" t="s">
        <v>6180</v>
      </c>
      <c r="E792" s="2">
        <v>3</v>
      </c>
      <c r="F792" t="str">
        <f>_xlfn.XLOOKUP(C792, customers!$A$2:$A$1001, customers!$B$2:$B$1001, , 0, 1)</f>
        <v>Silvan McShea</v>
      </c>
      <c r="G792" s="2" t="str">
        <f>IF(_xlfn.XLOOKUP(C792,customers!$A$2:$A$1001,customers!$C$2:$C$1001,,0,1)=0,"",_xlfn.XLOOKUP(C792,customers!$A$2:$A$1001,customers!$C$2:$C$1001,,0,1))</f>
        <v>smcshealy@photobucket.com</v>
      </c>
      <c r="H792" s="2" t="str">
        <f>_xlfn.XLOOKUP(C792, customers!$A$2:$A$1001, customers!$G$2:$G$1001, , 0, 1)</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Large</v>
      </c>
      <c r="P792" t="str">
        <f>_xlfn.XLOOKUP(Orders[[#This Row],[Customer ID]],customers!$A$1:$A$1001,customers!$I$1:$I$1001,"",0)</f>
        <v>No</v>
      </c>
    </row>
    <row r="793" spans="1:16" x14ac:dyDescent="0.3">
      <c r="A793" s="2" t="s">
        <v>4961</v>
      </c>
      <c r="B793" s="3">
        <v>43954</v>
      </c>
      <c r="C793" s="2" t="s">
        <v>4962</v>
      </c>
      <c r="D793" t="s">
        <v>6145</v>
      </c>
      <c r="E793" s="2">
        <v>5</v>
      </c>
      <c r="F793" t="str">
        <f>_xlfn.XLOOKUP(C793, customers!$A$2:$A$1001, customers!$B$2:$B$1001, , 0, 1)</f>
        <v>Karylin Huddart</v>
      </c>
      <c r="G793" s="2" t="str">
        <f>IF(_xlfn.XLOOKUP(C793,customers!$A$2:$A$1001,customers!$C$2:$C$1001,,0,1)=0,"",_xlfn.XLOOKUP(C793,customers!$A$2:$A$1001,customers!$C$2:$C$1001,,0,1))</f>
        <v>khuddartlz@about.com</v>
      </c>
      <c r="H793" s="2" t="str">
        <f>_xlfn.XLOOKUP(C793, customers!$A$2:$A$1001, customers!$G$2:$G$1001, , 0, 1)</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Large</v>
      </c>
      <c r="P793" t="str">
        <f>_xlfn.XLOOKUP(Orders[[#This Row],[Customer ID]],customers!$A$1:$A$1001,customers!$I$1:$I$1001,"",0)</f>
        <v>Yes</v>
      </c>
    </row>
    <row r="794" spans="1:16" x14ac:dyDescent="0.3">
      <c r="A794" s="2" t="s">
        <v>4967</v>
      </c>
      <c r="B794" s="3">
        <v>43545</v>
      </c>
      <c r="C794" s="2" t="s">
        <v>4968</v>
      </c>
      <c r="D794" t="s">
        <v>6160</v>
      </c>
      <c r="E794" s="2">
        <v>6</v>
      </c>
      <c r="F794" t="str">
        <f>_xlfn.XLOOKUP(C794, customers!$A$2:$A$1001, customers!$B$2:$B$1001, , 0, 1)</f>
        <v>Jereme Gippes</v>
      </c>
      <c r="G794" s="2" t="str">
        <f>IF(_xlfn.XLOOKUP(C794,customers!$A$2:$A$1001,customers!$C$2:$C$1001,,0,1)=0,"",_xlfn.XLOOKUP(C794,customers!$A$2:$A$1001,customers!$C$2:$C$1001,,0,1))</f>
        <v>jgippesm0@cloudflare.com</v>
      </c>
      <c r="H794" s="2" t="str">
        <f>_xlfn.XLOOKUP(C794, customers!$A$2:$A$1001, customers!$G$2:$G$1001, , 0, 1)</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t="str">
        <f>_xlfn.XLOOKUP(C795, customers!$A$2:$A$1001, customers!$B$2:$B$1001, , 0, 1)</f>
        <v>Lukas Whittlesee</v>
      </c>
      <c r="G795" s="2" t="str">
        <f>IF(_xlfn.XLOOKUP(C795,customers!$A$2:$A$1001,customers!$C$2:$C$1001,,0,1)=0,"",_xlfn.XLOOKUP(C795,customers!$A$2:$A$1001,customers!$C$2:$C$1001,,0,1))</f>
        <v>lwhittleseem1@e-recht24.de</v>
      </c>
      <c r="H795" s="2" t="str">
        <f>_xlfn.XLOOKUP(C795, customers!$A$2:$A$1001, customers!$G$2:$G$1001, , 0, 1)</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Large</v>
      </c>
      <c r="P795" t="str">
        <f>_xlfn.XLOOKUP(Orders[[#This Row],[Customer ID]],customers!$A$1:$A$1001,customers!$I$1:$I$1001,"",0)</f>
        <v>No</v>
      </c>
    </row>
    <row r="796" spans="1:16" x14ac:dyDescent="0.3">
      <c r="A796" s="2" t="s">
        <v>4979</v>
      </c>
      <c r="B796" s="3">
        <v>43987</v>
      </c>
      <c r="C796" s="2" t="s">
        <v>4980</v>
      </c>
      <c r="D796" t="s">
        <v>6182</v>
      </c>
      <c r="E796" s="2">
        <v>5</v>
      </c>
      <c r="F796" t="str">
        <f>_xlfn.XLOOKUP(C796, customers!$A$2:$A$1001, customers!$B$2:$B$1001, , 0, 1)</f>
        <v>Gregorius Trengrove</v>
      </c>
      <c r="G796" s="2" t="str">
        <f>IF(_xlfn.XLOOKUP(C796,customers!$A$2:$A$1001,customers!$C$2:$C$1001,,0,1)=0,"",_xlfn.XLOOKUP(C796,customers!$A$2:$A$1001,customers!$C$2:$C$1001,,0,1))</f>
        <v>gtrengrovem2@elpais.com</v>
      </c>
      <c r="H796" s="2" t="str">
        <f>_xlfn.XLOOKUP(C796, customers!$A$2:$A$1001, customers!$G$2:$G$1001, , 0, 1)</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Large</v>
      </c>
      <c r="P796" t="str">
        <f>_xlfn.XLOOKUP(Orders[[#This Row],[Customer ID]],customers!$A$1:$A$1001,customers!$I$1:$I$1001,"",0)</f>
        <v>No</v>
      </c>
    </row>
    <row r="797" spans="1:16" x14ac:dyDescent="0.3">
      <c r="A797" s="2" t="s">
        <v>4985</v>
      </c>
      <c r="B797" s="3">
        <v>43540</v>
      </c>
      <c r="C797" s="2" t="s">
        <v>4986</v>
      </c>
      <c r="D797" t="s">
        <v>6173</v>
      </c>
      <c r="E797" s="2">
        <v>4</v>
      </c>
      <c r="F797" t="str">
        <f>_xlfn.XLOOKUP(C797, customers!$A$2:$A$1001, customers!$B$2:$B$1001, , 0, 1)</f>
        <v>Wright Caldero</v>
      </c>
      <c r="G797" s="2" t="str">
        <f>IF(_xlfn.XLOOKUP(C797,customers!$A$2:$A$1001,customers!$C$2:$C$1001,,0,1)=0,"",_xlfn.XLOOKUP(C797,customers!$A$2:$A$1001,customers!$C$2:$C$1001,,0,1))</f>
        <v>wcalderom3@stumbleupon.com</v>
      </c>
      <c r="H797" s="2" t="str">
        <f>_xlfn.XLOOKUP(C797, customers!$A$2:$A$1001, customers!$G$2:$G$1001, , 0, 1)</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Large</v>
      </c>
      <c r="P797" t="str">
        <f>_xlfn.XLOOKUP(Orders[[#This Row],[Customer ID]],customers!$A$1:$A$1001,customers!$I$1:$I$1001,"",0)</f>
        <v>No</v>
      </c>
    </row>
    <row r="798" spans="1:16" x14ac:dyDescent="0.3">
      <c r="A798" s="2" t="s">
        <v>4991</v>
      </c>
      <c r="B798" s="3">
        <v>44533</v>
      </c>
      <c r="C798" s="2" t="s">
        <v>4992</v>
      </c>
      <c r="D798" t="s">
        <v>6161</v>
      </c>
      <c r="E798" s="2">
        <v>1</v>
      </c>
      <c r="F798" t="str">
        <f>_xlfn.XLOOKUP(C798, customers!$A$2:$A$1001, customers!$B$2:$B$1001, , 0, 1)</f>
        <v>Merell Zanazzi</v>
      </c>
      <c r="G798" s="2" t="str">
        <f>IF(_xlfn.XLOOKUP(C798,customers!$A$2:$A$1001,customers!$C$2:$C$1001,,0,1)=0,"",_xlfn.XLOOKUP(C798,customers!$A$2:$A$1001,customers!$C$2:$C$1001,,0,1))</f>
        <v/>
      </c>
      <c r="H798" s="2" t="str">
        <f>_xlfn.XLOOKUP(C798, customers!$A$2:$A$1001, customers!$G$2:$G$1001, , 0, 1)</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Large</v>
      </c>
      <c r="P798" t="str">
        <f>_xlfn.XLOOKUP(Orders[[#This Row],[Customer ID]],customers!$A$1:$A$1001,customers!$I$1:$I$1001,"",0)</f>
        <v>No</v>
      </c>
    </row>
    <row r="799" spans="1:16" x14ac:dyDescent="0.3">
      <c r="A799" s="2" t="s">
        <v>4996</v>
      </c>
      <c r="B799" s="3">
        <v>44751</v>
      </c>
      <c r="C799" s="2" t="s">
        <v>4997</v>
      </c>
      <c r="D799" t="s">
        <v>6180</v>
      </c>
      <c r="E799" s="2">
        <v>4</v>
      </c>
      <c r="F799" t="str">
        <f>_xlfn.XLOOKUP(C799, customers!$A$2:$A$1001, customers!$B$2:$B$1001, , 0, 1)</f>
        <v>Jed Kennicott</v>
      </c>
      <c r="G799" s="2" t="str">
        <f>IF(_xlfn.XLOOKUP(C799,customers!$A$2:$A$1001,customers!$C$2:$C$1001,,0,1)=0,"",_xlfn.XLOOKUP(C799,customers!$A$2:$A$1001,customers!$C$2:$C$1001,,0,1))</f>
        <v>jkennicottm5@yahoo.co.jp</v>
      </c>
      <c r="H799" s="2" t="str">
        <f>_xlfn.XLOOKUP(C799, customers!$A$2:$A$1001, customers!$G$2:$G$1001, , 0, 1)</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Large</v>
      </c>
      <c r="P799" t="str">
        <f>_xlfn.XLOOKUP(Orders[[#This Row],[Customer ID]],customers!$A$1:$A$1001,customers!$I$1:$I$1001,"",0)</f>
        <v>No</v>
      </c>
    </row>
    <row r="800" spans="1:16" x14ac:dyDescent="0.3">
      <c r="A800" s="2" t="s">
        <v>5002</v>
      </c>
      <c r="B800" s="3">
        <v>43950</v>
      </c>
      <c r="C800" s="2" t="s">
        <v>5003</v>
      </c>
      <c r="D800" t="s">
        <v>6163</v>
      </c>
      <c r="E800" s="2">
        <v>3</v>
      </c>
      <c r="F800" t="str">
        <f>_xlfn.XLOOKUP(C800, customers!$A$2:$A$1001, customers!$B$2:$B$1001, , 0, 1)</f>
        <v>Guenevere Ruggen</v>
      </c>
      <c r="G800" s="2" t="str">
        <f>IF(_xlfn.XLOOKUP(C800,customers!$A$2:$A$1001,customers!$C$2:$C$1001,,0,1)=0,"",_xlfn.XLOOKUP(C800,customers!$A$2:$A$1001,customers!$C$2:$C$1001,,0,1))</f>
        <v>gruggenm6@nymag.com</v>
      </c>
      <c r="H800" s="2" t="str">
        <f>_xlfn.XLOOKUP(C800, customers!$A$2:$A$1001, customers!$G$2:$G$1001, , 0, 1)</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t="str">
        <f>_xlfn.XLOOKUP(C801, customers!$A$2:$A$1001, customers!$B$2:$B$1001, , 0, 1)</f>
        <v>Gonzales Cicculi</v>
      </c>
      <c r="G801" s="2" t="str">
        <f>IF(_xlfn.XLOOKUP(C801,customers!$A$2:$A$1001,customers!$C$2:$C$1001,,0,1)=0,"",_xlfn.XLOOKUP(C801,customers!$A$2:$A$1001,customers!$C$2:$C$1001,,0,1))</f>
        <v/>
      </c>
      <c r="H801" s="2" t="str">
        <f>_xlfn.XLOOKUP(C801, customers!$A$2:$A$1001, customers!$G$2:$G$1001, , 0, 1)</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t="str">
        <f>_xlfn.XLOOKUP(C802, customers!$A$2:$A$1001, customers!$B$2:$B$1001, , 0, 1)</f>
        <v>Man Fright</v>
      </c>
      <c r="G802" s="2" t="str">
        <f>IF(_xlfn.XLOOKUP(C802,customers!$A$2:$A$1001,customers!$C$2:$C$1001,,0,1)=0,"",_xlfn.XLOOKUP(C802,customers!$A$2:$A$1001,customers!$C$2:$C$1001,,0,1))</f>
        <v>mfrightm8@harvard.edu</v>
      </c>
      <c r="H802" s="2" t="str">
        <f>_xlfn.XLOOKUP(C802, customers!$A$2:$A$1001, customers!$G$2:$G$1001, , 0, 1)</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t="str">
        <f>_xlfn.XLOOKUP(C803, customers!$A$2:$A$1001, customers!$B$2:$B$1001, , 0, 1)</f>
        <v>Boyce Tarte</v>
      </c>
      <c r="G803" s="2" t="str">
        <f>IF(_xlfn.XLOOKUP(C803,customers!$A$2:$A$1001,customers!$C$2:$C$1001,,0,1)=0,"",_xlfn.XLOOKUP(C803,customers!$A$2:$A$1001,customers!$C$2:$C$1001,,0,1))</f>
        <v>btartem9@aol.com</v>
      </c>
      <c r="H803" s="2" t="str">
        <f>_xlfn.XLOOKUP(C803, customers!$A$2:$A$1001, customers!$G$2:$G$1001, , 0, 1)</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t="str">
        <f>_xlfn.XLOOKUP(C804, customers!$A$2:$A$1001, customers!$B$2:$B$1001, , 0, 1)</f>
        <v>Caddric Krzysztofiak</v>
      </c>
      <c r="G804" s="2" t="str">
        <f>IF(_xlfn.XLOOKUP(C804,customers!$A$2:$A$1001,customers!$C$2:$C$1001,,0,1)=0,"",_xlfn.XLOOKUP(C804,customers!$A$2:$A$1001,customers!$C$2:$C$1001,,0,1))</f>
        <v>ckrzysztofiakma@skyrock.com</v>
      </c>
      <c r="H804" s="2" t="str">
        <f>_xlfn.XLOOKUP(C804, customers!$A$2:$A$1001, customers!$G$2:$G$1001, , 0, 1)</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t="str">
        <f>_xlfn.XLOOKUP(C805, customers!$A$2:$A$1001, customers!$B$2:$B$1001, , 0, 1)</f>
        <v>Darn Penquet</v>
      </c>
      <c r="G805" s="2" t="str">
        <f>IF(_xlfn.XLOOKUP(C805,customers!$A$2:$A$1001,customers!$C$2:$C$1001,,0,1)=0,"",_xlfn.XLOOKUP(C805,customers!$A$2:$A$1001,customers!$C$2:$C$1001,,0,1))</f>
        <v>dpenquetmb@diigo.com</v>
      </c>
      <c r="H805" s="2" t="str">
        <f>_xlfn.XLOOKUP(C805, customers!$A$2:$A$1001, customers!$G$2:$G$1001, , 0, 1)</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t="str">
        <f>_xlfn.XLOOKUP(C806, customers!$A$2:$A$1001, customers!$B$2:$B$1001, , 0, 1)</f>
        <v>Jammie Cloke</v>
      </c>
      <c r="G806" s="2" t="str">
        <f>IF(_xlfn.XLOOKUP(C806,customers!$A$2:$A$1001,customers!$C$2:$C$1001,,0,1)=0,"",_xlfn.XLOOKUP(C806,customers!$A$2:$A$1001,customers!$C$2:$C$1001,,0,1))</f>
        <v/>
      </c>
      <c r="H806" s="2" t="str">
        <f>_xlfn.XLOOKUP(C806, customers!$A$2:$A$1001, customers!$G$2:$G$1001, , 0, 1)</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Large</v>
      </c>
      <c r="P806" t="str">
        <f>_xlfn.XLOOKUP(Orders[[#This Row],[Customer ID]],customers!$A$1:$A$1001,customers!$I$1:$I$1001,"",0)</f>
        <v>No</v>
      </c>
    </row>
    <row r="807" spans="1:16" x14ac:dyDescent="0.3">
      <c r="A807" s="2" t="s">
        <v>5040</v>
      </c>
      <c r="B807" s="3">
        <v>44713</v>
      </c>
      <c r="C807" s="2" t="s">
        <v>5041</v>
      </c>
      <c r="D807" t="s">
        <v>6146</v>
      </c>
      <c r="E807" s="2">
        <v>1</v>
      </c>
      <c r="F807" t="str">
        <f>_xlfn.XLOOKUP(C807, customers!$A$2:$A$1001, customers!$B$2:$B$1001, , 0, 1)</f>
        <v>Chester Clowton</v>
      </c>
      <c r="G807" s="2" t="str">
        <f>IF(_xlfn.XLOOKUP(C807,customers!$A$2:$A$1001,customers!$C$2:$C$1001,,0,1)=0,"",_xlfn.XLOOKUP(C807,customers!$A$2:$A$1001,customers!$C$2:$C$1001,,0,1))</f>
        <v/>
      </c>
      <c r="H807" s="2" t="str">
        <f>_xlfn.XLOOKUP(C807, customers!$A$2:$A$1001, customers!$G$2:$G$1001, , 0, 1)</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t="str">
        <f>_xlfn.XLOOKUP(C808, customers!$A$2:$A$1001, customers!$B$2:$B$1001, , 0, 1)</f>
        <v>Kathleen Diable</v>
      </c>
      <c r="G808" s="2" t="str">
        <f>IF(_xlfn.XLOOKUP(C808,customers!$A$2:$A$1001,customers!$C$2:$C$1001,,0,1)=0,"",_xlfn.XLOOKUP(C808,customers!$A$2:$A$1001,customers!$C$2:$C$1001,,0,1))</f>
        <v/>
      </c>
      <c r="H808" s="2" t="str">
        <f>_xlfn.XLOOKUP(C808, customers!$A$2:$A$1001, customers!$G$2:$G$1001, , 0, 1)</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t="str">
        <f>_xlfn.XLOOKUP(C809, customers!$A$2:$A$1001, customers!$B$2:$B$1001, , 0, 1)</f>
        <v>Koren Ferretti</v>
      </c>
      <c r="G809" s="2" t="str">
        <f>IF(_xlfn.XLOOKUP(C809,customers!$A$2:$A$1001,customers!$C$2:$C$1001,,0,1)=0,"",_xlfn.XLOOKUP(C809,customers!$A$2:$A$1001,customers!$C$2:$C$1001,,0,1))</f>
        <v>kferrettimf@huffingtonpost.com</v>
      </c>
      <c r="H809" s="2" t="str">
        <f>_xlfn.XLOOKUP(C809, customers!$A$2:$A$1001, customers!$G$2:$G$1001, , 0, 1)</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t="str">
        <f>_xlfn.XLOOKUP(C810, customers!$A$2:$A$1001, customers!$B$2:$B$1001, , 0, 1)</f>
        <v>Allis Wilmore</v>
      </c>
      <c r="G810" s="2" t="str">
        <f>IF(_xlfn.XLOOKUP(C810,customers!$A$2:$A$1001,customers!$C$2:$C$1001,,0,1)=0,"",_xlfn.XLOOKUP(C810,customers!$A$2:$A$1001,customers!$C$2:$C$1001,,0,1))</f>
        <v/>
      </c>
      <c r="H810" s="2" t="str">
        <f>_xlfn.XLOOKUP(C810, customers!$A$2:$A$1001, customers!$G$2:$G$1001, , 0, 1)</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Large</v>
      </c>
      <c r="P810" t="str">
        <f>_xlfn.XLOOKUP(Orders[[#This Row],[Customer ID]],customers!$A$1:$A$1001,customers!$I$1:$I$1001,"",0)</f>
        <v>No</v>
      </c>
    </row>
    <row r="811" spans="1:16" x14ac:dyDescent="0.3">
      <c r="A811" s="2" t="s">
        <v>5062</v>
      </c>
      <c r="B811" s="3">
        <v>44235</v>
      </c>
      <c r="C811" s="2" t="s">
        <v>5063</v>
      </c>
      <c r="D811" t="s">
        <v>6163</v>
      </c>
      <c r="E811" s="2">
        <v>3</v>
      </c>
      <c r="F811" t="str">
        <f>_xlfn.XLOOKUP(C811, customers!$A$2:$A$1001, customers!$B$2:$B$1001, , 0, 1)</f>
        <v>Chaddie Bennie</v>
      </c>
      <c r="G811" s="2" t="str">
        <f>IF(_xlfn.XLOOKUP(C811,customers!$A$2:$A$1001,customers!$C$2:$C$1001,,0,1)=0,"",_xlfn.XLOOKUP(C811,customers!$A$2:$A$1001,customers!$C$2:$C$1001,,0,1))</f>
        <v/>
      </c>
      <c r="H811" s="2" t="str">
        <f>_xlfn.XLOOKUP(C811, customers!$A$2:$A$1001, customers!$G$2:$G$1001, , 0, 1)</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t="str">
        <f>_xlfn.XLOOKUP(C812, customers!$A$2:$A$1001, customers!$B$2:$B$1001, , 0, 1)</f>
        <v>Alberta Balsdone</v>
      </c>
      <c r="G812" s="2" t="str">
        <f>IF(_xlfn.XLOOKUP(C812,customers!$A$2:$A$1001,customers!$C$2:$C$1001,,0,1)=0,"",_xlfn.XLOOKUP(C812,customers!$A$2:$A$1001,customers!$C$2:$C$1001,,0,1))</f>
        <v>abalsdonemi@toplist.cz</v>
      </c>
      <c r="H812" s="2" t="str">
        <f>_xlfn.XLOOKUP(C812, customers!$A$2:$A$1001, customers!$G$2:$G$1001, , 0, 1)</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Large</v>
      </c>
      <c r="P812" t="str">
        <f>_xlfn.XLOOKUP(Orders[[#This Row],[Customer ID]],customers!$A$1:$A$1001,customers!$I$1:$I$1001,"",0)</f>
        <v>No</v>
      </c>
    </row>
    <row r="813" spans="1:16" x14ac:dyDescent="0.3">
      <c r="A813" s="2" t="s">
        <v>5073</v>
      </c>
      <c r="B813" s="3">
        <v>44114</v>
      </c>
      <c r="C813" s="2" t="s">
        <v>5074</v>
      </c>
      <c r="D813" t="s">
        <v>6155</v>
      </c>
      <c r="E813" s="2">
        <v>6</v>
      </c>
      <c r="F813" t="str">
        <f>_xlfn.XLOOKUP(C813, customers!$A$2:$A$1001, customers!$B$2:$B$1001, , 0, 1)</f>
        <v>Brice Romera</v>
      </c>
      <c r="G813" s="2" t="str">
        <f>IF(_xlfn.XLOOKUP(C813,customers!$A$2:$A$1001,customers!$C$2:$C$1001,,0,1)=0,"",_xlfn.XLOOKUP(C813,customers!$A$2:$A$1001,customers!$C$2:$C$1001,,0,1))</f>
        <v>bromeramj@list-manage.com</v>
      </c>
      <c r="H813" s="2" t="str">
        <f>_xlfn.XLOOKUP(C813, customers!$A$2:$A$1001, customers!$G$2:$G$1001, , 0, 1)</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t="str">
        <f>_xlfn.XLOOKUP(C814, customers!$A$2:$A$1001, customers!$B$2:$B$1001, , 0, 1)</f>
        <v>Brice Romera</v>
      </c>
      <c r="G814" s="2" t="str">
        <f>IF(_xlfn.XLOOKUP(C814,customers!$A$2:$A$1001,customers!$C$2:$C$1001,,0,1)=0,"",_xlfn.XLOOKUP(C814,customers!$A$2:$A$1001,customers!$C$2:$C$1001,,0,1))</f>
        <v>bromeramj@list-manage.com</v>
      </c>
      <c r="H814" s="2" t="str">
        <f>_xlfn.XLOOKUP(C814, customers!$A$2:$A$1001, customers!$G$2:$G$1001, , 0, 1)</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t="str">
        <f>_xlfn.XLOOKUP(C815, customers!$A$2:$A$1001, customers!$B$2:$B$1001, , 0, 1)</f>
        <v>Conchita Bryde</v>
      </c>
      <c r="G815" s="2" t="str">
        <f>IF(_xlfn.XLOOKUP(C815,customers!$A$2:$A$1001,customers!$C$2:$C$1001,,0,1)=0,"",_xlfn.XLOOKUP(C815,customers!$A$2:$A$1001,customers!$C$2:$C$1001,,0,1))</f>
        <v>cbrydeml@tuttocitta.it</v>
      </c>
      <c r="H815" s="2" t="str">
        <f>_xlfn.XLOOKUP(C815, customers!$A$2:$A$1001, customers!$G$2:$G$1001, , 0, 1)</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t="str">
        <f>_xlfn.XLOOKUP(C816, customers!$A$2:$A$1001, customers!$B$2:$B$1001, , 0, 1)</f>
        <v>Silvanus Enefer</v>
      </c>
      <c r="G816" s="2" t="str">
        <f>IF(_xlfn.XLOOKUP(C816,customers!$A$2:$A$1001,customers!$C$2:$C$1001,,0,1)=0,"",_xlfn.XLOOKUP(C816,customers!$A$2:$A$1001,customers!$C$2:$C$1001,,0,1))</f>
        <v>senefermm@blog.com</v>
      </c>
      <c r="H816" s="2" t="str">
        <f>_xlfn.XLOOKUP(C816, customers!$A$2:$A$1001, customers!$G$2:$G$1001, , 0, 1)</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Large</v>
      </c>
      <c r="P816" t="str">
        <f>_xlfn.XLOOKUP(Orders[[#This Row],[Customer ID]],customers!$A$1:$A$1001,customers!$I$1:$I$1001,"",0)</f>
        <v>No</v>
      </c>
    </row>
    <row r="817" spans="1:16" x14ac:dyDescent="0.3">
      <c r="A817" s="2" t="s">
        <v>5096</v>
      </c>
      <c r="B817" s="3">
        <v>44200</v>
      </c>
      <c r="C817" s="2" t="s">
        <v>5097</v>
      </c>
      <c r="D817" t="s">
        <v>6146</v>
      </c>
      <c r="E817" s="2">
        <v>6</v>
      </c>
      <c r="F817" t="str">
        <f>_xlfn.XLOOKUP(C817, customers!$A$2:$A$1001, customers!$B$2:$B$1001, , 0, 1)</f>
        <v>Lenci Haggerstone</v>
      </c>
      <c r="G817" s="2" t="str">
        <f>IF(_xlfn.XLOOKUP(C817,customers!$A$2:$A$1001,customers!$C$2:$C$1001,,0,1)=0,"",_xlfn.XLOOKUP(C817,customers!$A$2:$A$1001,customers!$C$2:$C$1001,,0,1))</f>
        <v>lhaggerstonemn@independent.co.uk</v>
      </c>
      <c r="H817" s="2" t="str">
        <f>_xlfn.XLOOKUP(C817, customers!$A$2:$A$1001, customers!$G$2:$G$1001, , 0, 1)</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t="str">
        <f>_xlfn.XLOOKUP(C818, customers!$A$2:$A$1001, customers!$B$2:$B$1001, , 0, 1)</f>
        <v>Marvin Gundry</v>
      </c>
      <c r="G818" s="2" t="str">
        <f>IF(_xlfn.XLOOKUP(C818,customers!$A$2:$A$1001,customers!$C$2:$C$1001,,0,1)=0,"",_xlfn.XLOOKUP(C818,customers!$A$2:$A$1001,customers!$C$2:$C$1001,,0,1))</f>
        <v>mgundrymo@omniture.com</v>
      </c>
      <c r="H818" s="2" t="str">
        <f>_xlfn.XLOOKUP(C818, customers!$A$2:$A$1001, customers!$G$2:$G$1001, , 0, 1)</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Large</v>
      </c>
      <c r="P818" t="str">
        <f>_xlfn.XLOOKUP(Orders[[#This Row],[Customer ID]],customers!$A$1:$A$1001,customers!$I$1:$I$1001,"",0)</f>
        <v>No</v>
      </c>
    </row>
    <row r="819" spans="1:16" x14ac:dyDescent="0.3">
      <c r="A819" s="2" t="s">
        <v>5107</v>
      </c>
      <c r="B819" s="3">
        <v>43798</v>
      </c>
      <c r="C819" s="2" t="s">
        <v>5108</v>
      </c>
      <c r="D819" t="s">
        <v>6169</v>
      </c>
      <c r="E819" s="2">
        <v>2</v>
      </c>
      <c r="F819" t="str">
        <f>_xlfn.XLOOKUP(C819, customers!$A$2:$A$1001, customers!$B$2:$B$1001, , 0, 1)</f>
        <v>Bayard Wellan</v>
      </c>
      <c r="G819" s="2" t="str">
        <f>IF(_xlfn.XLOOKUP(C819,customers!$A$2:$A$1001,customers!$C$2:$C$1001,,0,1)=0,"",_xlfn.XLOOKUP(C819,customers!$A$2:$A$1001,customers!$C$2:$C$1001,,0,1))</f>
        <v>bwellanmp@cafepress.com</v>
      </c>
      <c r="H819" s="2" t="str">
        <f>_xlfn.XLOOKUP(C819, customers!$A$2:$A$1001, customers!$G$2:$G$1001, , 0, 1)</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t="str">
        <f>_xlfn.XLOOKUP(C820, customers!$A$2:$A$1001, customers!$B$2:$B$1001, , 0, 1)</f>
        <v>Allis Wilmore</v>
      </c>
      <c r="G820" s="2" t="str">
        <f>IF(_xlfn.XLOOKUP(C820,customers!$A$2:$A$1001,customers!$C$2:$C$1001,,0,1)=0,"",_xlfn.XLOOKUP(C820,customers!$A$2:$A$1001,customers!$C$2:$C$1001,,0,1))</f>
        <v/>
      </c>
      <c r="H820" s="2" t="str">
        <f>_xlfn.XLOOKUP(C820, customers!$A$2:$A$1001, customers!$G$2:$G$1001, , 0, 1)</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Large</v>
      </c>
      <c r="P820" t="str">
        <f>_xlfn.XLOOKUP(Orders[[#This Row],[Customer ID]],customers!$A$1:$A$1001,customers!$I$1:$I$1001,"",0)</f>
        <v>No</v>
      </c>
    </row>
    <row r="821" spans="1:16" x14ac:dyDescent="0.3">
      <c r="A821" s="2" t="s">
        <v>5117</v>
      </c>
      <c r="B821" s="3">
        <v>44008</v>
      </c>
      <c r="C821" s="2" t="s">
        <v>5118</v>
      </c>
      <c r="D821" t="s">
        <v>6145</v>
      </c>
      <c r="E821" s="2">
        <v>1</v>
      </c>
      <c r="F821" t="str">
        <f>_xlfn.XLOOKUP(C821, customers!$A$2:$A$1001, customers!$B$2:$B$1001, , 0, 1)</f>
        <v>Caddric Atcheson</v>
      </c>
      <c r="G821" s="2" t="str">
        <f>IF(_xlfn.XLOOKUP(C821,customers!$A$2:$A$1001,customers!$C$2:$C$1001,,0,1)=0,"",_xlfn.XLOOKUP(C821,customers!$A$2:$A$1001,customers!$C$2:$C$1001,,0,1))</f>
        <v>catchesonmr@xinhuanet.com</v>
      </c>
      <c r="H821" s="2" t="str">
        <f>_xlfn.XLOOKUP(C821, customers!$A$2:$A$1001, customers!$G$2:$G$1001, , 0, 1)</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Large</v>
      </c>
      <c r="P821" t="str">
        <f>_xlfn.XLOOKUP(Orders[[#This Row],[Customer ID]],customers!$A$1:$A$1001,customers!$I$1:$I$1001,"",0)</f>
        <v>Yes</v>
      </c>
    </row>
    <row r="822" spans="1:16" x14ac:dyDescent="0.3">
      <c r="A822" s="2" t="s">
        <v>5123</v>
      </c>
      <c r="B822" s="3">
        <v>43510</v>
      </c>
      <c r="C822" s="2" t="s">
        <v>5124</v>
      </c>
      <c r="D822" t="s">
        <v>6141</v>
      </c>
      <c r="E822" s="2">
        <v>4</v>
      </c>
      <c r="F822" t="str">
        <f>_xlfn.XLOOKUP(C822, customers!$A$2:$A$1001, customers!$B$2:$B$1001, , 0, 1)</f>
        <v>Eustace Stenton</v>
      </c>
      <c r="G822" s="2" t="str">
        <f>IF(_xlfn.XLOOKUP(C822,customers!$A$2:$A$1001,customers!$C$2:$C$1001,,0,1)=0,"",_xlfn.XLOOKUP(C822,customers!$A$2:$A$1001,customers!$C$2:$C$1001,,0,1))</f>
        <v>estentonms@google.it</v>
      </c>
      <c r="H822" s="2" t="str">
        <f>_xlfn.XLOOKUP(C822, customers!$A$2:$A$1001, customers!$G$2:$G$1001, , 0, 1)</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t="str">
        <f>_xlfn.XLOOKUP(C823, customers!$A$2:$A$1001, customers!$B$2:$B$1001, , 0, 1)</f>
        <v>Ericka Tripp</v>
      </c>
      <c r="G823" s="2" t="str">
        <f>IF(_xlfn.XLOOKUP(C823,customers!$A$2:$A$1001,customers!$C$2:$C$1001,,0,1)=0,"",_xlfn.XLOOKUP(C823,customers!$A$2:$A$1001,customers!$C$2:$C$1001,,0,1))</f>
        <v>etrippmt@wp.com</v>
      </c>
      <c r="H823" s="2" t="str">
        <f>_xlfn.XLOOKUP(C823, customers!$A$2:$A$1001, customers!$G$2:$G$1001, , 0, 1)</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t="str">
        <f>_xlfn.XLOOKUP(C824, customers!$A$2:$A$1001, customers!$B$2:$B$1001, , 0, 1)</f>
        <v>Lyndsey MacManus</v>
      </c>
      <c r="G824" s="2" t="str">
        <f>IF(_xlfn.XLOOKUP(C824,customers!$A$2:$A$1001,customers!$C$2:$C$1001,,0,1)=0,"",_xlfn.XLOOKUP(C824,customers!$A$2:$A$1001,customers!$C$2:$C$1001,,0,1))</f>
        <v>lmacmanusmu@imdb.com</v>
      </c>
      <c r="H824" s="2" t="str">
        <f>_xlfn.XLOOKUP(C824, customers!$A$2:$A$1001, customers!$G$2:$G$1001, , 0, 1)</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Large</v>
      </c>
      <c r="P824" t="str">
        <f>_xlfn.XLOOKUP(Orders[[#This Row],[Customer ID]],customers!$A$1:$A$1001,customers!$I$1:$I$1001,"",0)</f>
        <v>No</v>
      </c>
    </row>
    <row r="825" spans="1:16" x14ac:dyDescent="0.3">
      <c r="A825" s="2" t="s">
        <v>5141</v>
      </c>
      <c r="B825" s="3">
        <v>44134</v>
      </c>
      <c r="C825" s="2" t="s">
        <v>5142</v>
      </c>
      <c r="D825" t="s">
        <v>6170</v>
      </c>
      <c r="E825" s="2">
        <v>3</v>
      </c>
      <c r="F825" t="str">
        <f>_xlfn.XLOOKUP(C825, customers!$A$2:$A$1001, customers!$B$2:$B$1001, , 0, 1)</f>
        <v>Tess Benediktovich</v>
      </c>
      <c r="G825" s="2" t="str">
        <f>IF(_xlfn.XLOOKUP(C825,customers!$A$2:$A$1001,customers!$C$2:$C$1001,,0,1)=0,"",_xlfn.XLOOKUP(C825,customers!$A$2:$A$1001,customers!$C$2:$C$1001,,0,1))</f>
        <v>tbenediktovichmv@ebay.com</v>
      </c>
      <c r="H825" s="2" t="str">
        <f>_xlfn.XLOOKUP(C825, customers!$A$2:$A$1001, customers!$G$2:$G$1001, , 0, 1)</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Large</v>
      </c>
      <c r="P825" t="str">
        <f>_xlfn.XLOOKUP(Orders[[#This Row],[Customer ID]],customers!$A$1:$A$1001,customers!$I$1:$I$1001,"",0)</f>
        <v>Yes</v>
      </c>
    </row>
    <row r="826" spans="1:16" x14ac:dyDescent="0.3">
      <c r="A826" s="2" t="s">
        <v>5147</v>
      </c>
      <c r="B826" s="3">
        <v>43781</v>
      </c>
      <c r="C826" s="2" t="s">
        <v>5148</v>
      </c>
      <c r="D826" t="s">
        <v>6152</v>
      </c>
      <c r="E826" s="2">
        <v>5</v>
      </c>
      <c r="F826" t="str">
        <f>_xlfn.XLOOKUP(C826, customers!$A$2:$A$1001, customers!$B$2:$B$1001, , 0, 1)</f>
        <v>Correy Bourner</v>
      </c>
      <c r="G826" s="2" t="str">
        <f>IF(_xlfn.XLOOKUP(C826,customers!$A$2:$A$1001,customers!$C$2:$C$1001,,0,1)=0,"",_xlfn.XLOOKUP(C826,customers!$A$2:$A$1001,customers!$C$2:$C$1001,,0,1))</f>
        <v>cbournermw@chronoengine.com</v>
      </c>
      <c r="H826" s="2" t="str">
        <f>_xlfn.XLOOKUP(C826, customers!$A$2:$A$1001, customers!$G$2:$G$1001, , 0, 1)</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t="str">
        <f>_xlfn.XLOOKUP(C827, customers!$A$2:$A$1001, customers!$B$2:$B$1001, , 0, 1)</f>
        <v>Odelia Skerme</v>
      </c>
      <c r="G827" s="2" t="str">
        <f>IF(_xlfn.XLOOKUP(C827,customers!$A$2:$A$1001,customers!$C$2:$C$1001,,0,1)=0,"",_xlfn.XLOOKUP(C827,customers!$A$2:$A$1001,customers!$C$2:$C$1001,,0,1))</f>
        <v>oskermen3@hatena.ne.jp</v>
      </c>
      <c r="H827" s="2" t="str">
        <f>_xlfn.XLOOKUP(C827, customers!$A$2:$A$1001, customers!$G$2:$G$1001, , 0, 1)</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t="str">
        <f>_xlfn.XLOOKUP(C828, customers!$A$2:$A$1001, customers!$B$2:$B$1001, , 0, 1)</f>
        <v>Kandy Heddan</v>
      </c>
      <c r="G828" s="2" t="str">
        <f>IF(_xlfn.XLOOKUP(C828,customers!$A$2:$A$1001,customers!$C$2:$C$1001,,0,1)=0,"",_xlfn.XLOOKUP(C828,customers!$A$2:$A$1001,customers!$C$2:$C$1001,,0,1))</f>
        <v>kheddanmy@icq.com</v>
      </c>
      <c r="H828" s="2" t="str">
        <f>_xlfn.XLOOKUP(C828, customers!$A$2:$A$1001, customers!$G$2:$G$1001, , 0, 1)</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t="str">
        <f>_xlfn.XLOOKUP(C829, customers!$A$2:$A$1001, customers!$B$2:$B$1001, , 0, 1)</f>
        <v>Ibby Charters</v>
      </c>
      <c r="G829" s="2" t="str">
        <f>IF(_xlfn.XLOOKUP(C829,customers!$A$2:$A$1001,customers!$C$2:$C$1001,,0,1)=0,"",_xlfn.XLOOKUP(C829,customers!$A$2:$A$1001,customers!$C$2:$C$1001,,0,1))</f>
        <v>ichartersmz@abc.net.au</v>
      </c>
      <c r="H829" s="2" t="str">
        <f>_xlfn.XLOOKUP(C829, customers!$A$2:$A$1001, customers!$G$2:$G$1001, , 0, 1)</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t="str">
        <f>_xlfn.XLOOKUP(C830, customers!$A$2:$A$1001, customers!$B$2:$B$1001, , 0, 1)</f>
        <v>Adora Roubert</v>
      </c>
      <c r="G830" s="2" t="str">
        <f>IF(_xlfn.XLOOKUP(C830,customers!$A$2:$A$1001,customers!$C$2:$C$1001,,0,1)=0,"",_xlfn.XLOOKUP(C830,customers!$A$2:$A$1001,customers!$C$2:$C$1001,,0,1))</f>
        <v>aroubertn0@tmall.com</v>
      </c>
      <c r="H830" s="2" t="str">
        <f>_xlfn.XLOOKUP(C830, customers!$A$2:$A$1001, customers!$G$2:$G$1001, , 0, 1)</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t="str">
        <f>_xlfn.XLOOKUP(C831, customers!$A$2:$A$1001, customers!$B$2:$B$1001, , 0, 1)</f>
        <v>Hillel Mairs</v>
      </c>
      <c r="G831" s="2" t="str">
        <f>IF(_xlfn.XLOOKUP(C831,customers!$A$2:$A$1001,customers!$C$2:$C$1001,,0,1)=0,"",_xlfn.XLOOKUP(C831,customers!$A$2:$A$1001,customers!$C$2:$C$1001,,0,1))</f>
        <v>hmairsn1@so-net.ne.jp</v>
      </c>
      <c r="H831" s="2" t="str">
        <f>_xlfn.XLOOKUP(C831, customers!$A$2:$A$1001, customers!$G$2:$G$1001, , 0, 1)</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t="str">
        <f>_xlfn.XLOOKUP(C832, customers!$A$2:$A$1001, customers!$B$2:$B$1001, , 0, 1)</f>
        <v>Helaina Rainforth</v>
      </c>
      <c r="G832" s="2" t="str">
        <f>IF(_xlfn.XLOOKUP(C832,customers!$A$2:$A$1001,customers!$C$2:$C$1001,,0,1)=0,"",_xlfn.XLOOKUP(C832,customers!$A$2:$A$1001,customers!$C$2:$C$1001,,0,1))</f>
        <v>hrainforthn2@blog.com</v>
      </c>
      <c r="H832" s="2" t="str">
        <f>_xlfn.XLOOKUP(C832, customers!$A$2:$A$1001, customers!$G$2:$G$1001, , 0, 1)</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t="str">
        <f>_xlfn.XLOOKUP(C833, customers!$A$2:$A$1001, customers!$B$2:$B$1001, , 0, 1)</f>
        <v>Helaina Rainforth</v>
      </c>
      <c r="G833" s="2" t="str">
        <f>IF(_xlfn.XLOOKUP(C833,customers!$A$2:$A$1001,customers!$C$2:$C$1001,,0,1)=0,"",_xlfn.XLOOKUP(C833,customers!$A$2:$A$1001,customers!$C$2:$C$1001,,0,1))</f>
        <v>hrainforthn2@blog.com</v>
      </c>
      <c r="H833" s="2" t="str">
        <f>_xlfn.XLOOKUP(C833, customers!$A$2:$A$1001, customers!$G$2:$G$1001, , 0, 1)</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t="str">
        <f>_xlfn.XLOOKUP(C834, customers!$A$2:$A$1001, customers!$B$2:$B$1001, , 0, 1)</f>
        <v>Isac Jesper</v>
      </c>
      <c r="G834" s="2" t="str">
        <f>IF(_xlfn.XLOOKUP(C834,customers!$A$2:$A$1001,customers!$C$2:$C$1001,,0,1)=0,"",_xlfn.XLOOKUP(C834,customers!$A$2:$A$1001,customers!$C$2:$C$1001,,0,1))</f>
        <v>ijespern4@theglobeandmail.com</v>
      </c>
      <c r="H834" s="2" t="str">
        <f>_xlfn.XLOOKUP(C834, customers!$A$2:$A$1001, customers!$G$2:$G$1001, , 0, 1)</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t="str">
        <f>_xlfn.XLOOKUP(C835, customers!$A$2:$A$1001, customers!$B$2:$B$1001, , 0, 1)</f>
        <v>Lenette Dwerryhouse</v>
      </c>
      <c r="G835" s="2" t="str">
        <f>IF(_xlfn.XLOOKUP(C835,customers!$A$2:$A$1001,customers!$C$2:$C$1001,,0,1)=0,"",_xlfn.XLOOKUP(C835,customers!$A$2:$A$1001,customers!$C$2:$C$1001,,0,1))</f>
        <v>ldwerryhousen5@gravatar.com</v>
      </c>
      <c r="H835" s="2" t="str">
        <f>_xlfn.XLOOKUP(C835, customers!$A$2:$A$1001, customers!$G$2:$G$1001, , 0, 1)</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IF(J835="M","Medium",IF(J835="L","Large",IF(J835="D","Dark","")))</f>
        <v>Dark</v>
      </c>
      <c r="P835" t="str">
        <f>_xlfn.XLOOKUP(Orders[[#This Row],[Customer ID]],customers!$A$1:$A$1001,customers!$I$1:$I$1001,"",0)</f>
        <v>Yes</v>
      </c>
    </row>
    <row r="836" spans="1:16" x14ac:dyDescent="0.3">
      <c r="A836" s="2" t="s">
        <v>5205</v>
      </c>
      <c r="B836" s="3">
        <v>44141</v>
      </c>
      <c r="C836" s="2" t="s">
        <v>5206</v>
      </c>
      <c r="D836" t="s">
        <v>6168</v>
      </c>
      <c r="E836" s="2">
        <v>1</v>
      </c>
      <c r="F836" t="str">
        <f>_xlfn.XLOOKUP(C836, customers!$A$2:$A$1001, customers!$B$2:$B$1001, , 0, 1)</f>
        <v>Nadeen Broomer</v>
      </c>
      <c r="G836" s="2" t="str">
        <f>IF(_xlfn.XLOOKUP(C836,customers!$A$2:$A$1001,customers!$C$2:$C$1001,,0,1)=0,"",_xlfn.XLOOKUP(C836,customers!$A$2:$A$1001,customers!$C$2:$C$1001,,0,1))</f>
        <v>nbroomern6@examiner.com</v>
      </c>
      <c r="H836" s="2" t="str">
        <f>_xlfn.XLOOKUP(C836, customers!$A$2:$A$1001, customers!$G$2:$G$1001, , 0, 1)</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t="str">
        <f>_xlfn.XLOOKUP(C837, customers!$A$2:$A$1001, customers!$B$2:$B$1001, , 0, 1)</f>
        <v>Konstantine Thoumasson</v>
      </c>
      <c r="G837" s="2" t="str">
        <f>IF(_xlfn.XLOOKUP(C837,customers!$A$2:$A$1001,customers!$C$2:$C$1001,,0,1)=0,"",_xlfn.XLOOKUP(C837,customers!$A$2:$A$1001,customers!$C$2:$C$1001,,0,1))</f>
        <v>kthoumassonn7@bloglovin.com</v>
      </c>
      <c r="H837" s="2" t="str">
        <f>_xlfn.XLOOKUP(C837, customers!$A$2:$A$1001, customers!$G$2:$G$1001, , 0, 1)</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Large</v>
      </c>
      <c r="P837" t="str">
        <f>_xlfn.XLOOKUP(Orders[[#This Row],[Customer ID]],customers!$A$1:$A$1001,customers!$I$1:$I$1001,"",0)</f>
        <v>Yes</v>
      </c>
    </row>
    <row r="838" spans="1:16" x14ac:dyDescent="0.3">
      <c r="A838" s="2" t="s">
        <v>5216</v>
      </c>
      <c r="B838" s="3">
        <v>44486</v>
      </c>
      <c r="C838" s="2" t="s">
        <v>5217</v>
      </c>
      <c r="D838" t="s">
        <v>6154</v>
      </c>
      <c r="E838" s="2">
        <v>4</v>
      </c>
      <c r="F838" t="str">
        <f>_xlfn.XLOOKUP(C838, customers!$A$2:$A$1001, customers!$B$2:$B$1001, , 0, 1)</f>
        <v>Frans Habbergham</v>
      </c>
      <c r="G838" s="2" t="str">
        <f>IF(_xlfn.XLOOKUP(C838,customers!$A$2:$A$1001,customers!$C$2:$C$1001,,0,1)=0,"",_xlfn.XLOOKUP(C838,customers!$A$2:$A$1001,customers!$C$2:$C$1001,,0,1))</f>
        <v>fhabberghamn8@discovery.com</v>
      </c>
      <c r="H838" s="2" t="str">
        <f>_xlfn.XLOOKUP(C838, customers!$A$2:$A$1001, customers!$G$2:$G$1001, , 0, 1)</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t="str">
        <f>_xlfn.XLOOKUP(C839, customers!$A$2:$A$1001, customers!$B$2:$B$1001, , 0, 1)</f>
        <v>Allis Wilmore</v>
      </c>
      <c r="G839" s="2" t="str">
        <f>IF(_xlfn.XLOOKUP(C839,customers!$A$2:$A$1001,customers!$C$2:$C$1001,,0,1)=0,"",_xlfn.XLOOKUP(C839,customers!$A$2:$A$1001,customers!$C$2:$C$1001,,0,1))</f>
        <v/>
      </c>
      <c r="H839" s="2" t="str">
        <f>_xlfn.XLOOKUP(C839, customers!$A$2:$A$1001, customers!$G$2:$G$1001, , 0, 1)</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t="str">
        <f>_xlfn.XLOOKUP(C840, customers!$A$2:$A$1001, customers!$B$2:$B$1001, , 0, 1)</f>
        <v>Romain Avrashin</v>
      </c>
      <c r="G840" s="2" t="str">
        <f>IF(_xlfn.XLOOKUP(C840,customers!$A$2:$A$1001,customers!$C$2:$C$1001,,0,1)=0,"",_xlfn.XLOOKUP(C840,customers!$A$2:$A$1001,customers!$C$2:$C$1001,,0,1))</f>
        <v>ravrashinna@tamu.edu</v>
      </c>
      <c r="H840" s="2" t="str">
        <f>_xlfn.XLOOKUP(C840, customers!$A$2:$A$1001, customers!$G$2:$G$1001, , 0, 1)</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t="str">
        <f>_xlfn.XLOOKUP(C841, customers!$A$2:$A$1001, customers!$B$2:$B$1001, , 0, 1)</f>
        <v>Miran Doidge</v>
      </c>
      <c r="G841" s="2" t="str">
        <f>IF(_xlfn.XLOOKUP(C841,customers!$A$2:$A$1001,customers!$C$2:$C$1001,,0,1)=0,"",_xlfn.XLOOKUP(C841,customers!$A$2:$A$1001,customers!$C$2:$C$1001,,0,1))</f>
        <v>mdoidgenb@etsy.com</v>
      </c>
      <c r="H841" s="2" t="str">
        <f>_xlfn.XLOOKUP(C841, customers!$A$2:$A$1001, customers!$G$2:$G$1001, , 0, 1)</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t="str">
        <f>_xlfn.XLOOKUP(C842, customers!$A$2:$A$1001, customers!$B$2:$B$1001, , 0, 1)</f>
        <v>Janeva Edinboro</v>
      </c>
      <c r="G842" s="2" t="str">
        <f>IF(_xlfn.XLOOKUP(C842,customers!$A$2:$A$1001,customers!$C$2:$C$1001,,0,1)=0,"",_xlfn.XLOOKUP(C842,customers!$A$2:$A$1001,customers!$C$2:$C$1001,,0,1))</f>
        <v>jedinboronc@reverbnation.com</v>
      </c>
      <c r="H842" s="2" t="str">
        <f>_xlfn.XLOOKUP(C842, customers!$A$2:$A$1001, customers!$G$2:$G$1001, , 0, 1)</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Large</v>
      </c>
      <c r="P842" t="str">
        <f>_xlfn.XLOOKUP(Orders[[#This Row],[Customer ID]],customers!$A$1:$A$1001,customers!$I$1:$I$1001,"",0)</f>
        <v>Yes</v>
      </c>
    </row>
    <row r="843" spans="1:16" x14ac:dyDescent="0.3">
      <c r="A843" s="2" t="s">
        <v>5246</v>
      </c>
      <c r="B843" s="3">
        <v>44755</v>
      </c>
      <c r="C843" s="2" t="s">
        <v>5247</v>
      </c>
      <c r="D843" t="s">
        <v>6159</v>
      </c>
      <c r="E843" s="2">
        <v>1</v>
      </c>
      <c r="F843" t="str">
        <f>_xlfn.XLOOKUP(C843, customers!$A$2:$A$1001, customers!$B$2:$B$1001, , 0, 1)</f>
        <v>Trumaine Tewelson</v>
      </c>
      <c r="G843" s="2" t="str">
        <f>IF(_xlfn.XLOOKUP(C843,customers!$A$2:$A$1001,customers!$C$2:$C$1001,,0,1)=0,"",_xlfn.XLOOKUP(C843,customers!$A$2:$A$1001,customers!$C$2:$C$1001,,0,1))</f>
        <v>ttewelsonnd@cdbaby.com</v>
      </c>
      <c r="H843" s="2" t="str">
        <f>_xlfn.XLOOKUP(C843, customers!$A$2:$A$1001, customers!$G$2:$G$1001, , 0, 1)</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t="str">
        <f>_xlfn.XLOOKUP(C844, customers!$A$2:$A$1001, customers!$B$2:$B$1001, , 0, 1)</f>
        <v>Odelia Skerme</v>
      </c>
      <c r="G844" s="2" t="str">
        <f>IF(_xlfn.XLOOKUP(C844,customers!$A$2:$A$1001,customers!$C$2:$C$1001,,0,1)=0,"",_xlfn.XLOOKUP(C844,customers!$A$2:$A$1001,customers!$C$2:$C$1001,,0,1))</f>
        <v>oskermen3@hatena.ne.jp</v>
      </c>
      <c r="H844" s="2" t="str">
        <f>_xlfn.XLOOKUP(C844, customers!$A$2:$A$1001, customers!$G$2:$G$1001, , 0, 1)</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t="str">
        <f>_xlfn.XLOOKUP(C845, customers!$A$2:$A$1001, customers!$B$2:$B$1001, , 0, 1)</f>
        <v>De Drewitt</v>
      </c>
      <c r="G845" s="2" t="str">
        <f>IF(_xlfn.XLOOKUP(C845,customers!$A$2:$A$1001,customers!$C$2:$C$1001,,0,1)=0,"",_xlfn.XLOOKUP(C845,customers!$A$2:$A$1001,customers!$C$2:$C$1001,,0,1))</f>
        <v>ddrewittnf@mapquest.com</v>
      </c>
      <c r="H845" s="2" t="str">
        <f>_xlfn.XLOOKUP(C845, customers!$A$2:$A$1001, customers!$G$2:$G$1001, , 0, 1)</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t="str">
        <f>_xlfn.XLOOKUP(C846, customers!$A$2:$A$1001, customers!$B$2:$B$1001, , 0, 1)</f>
        <v>Adelheid Gladhill</v>
      </c>
      <c r="G846" s="2" t="str">
        <f>IF(_xlfn.XLOOKUP(C846,customers!$A$2:$A$1001,customers!$C$2:$C$1001,,0,1)=0,"",_xlfn.XLOOKUP(C846,customers!$A$2:$A$1001,customers!$C$2:$C$1001,,0,1))</f>
        <v>agladhillng@stanford.edu</v>
      </c>
      <c r="H846" s="2" t="str">
        <f>_xlfn.XLOOKUP(C846, customers!$A$2:$A$1001, customers!$G$2:$G$1001, , 0, 1)</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t="str">
        <f>_xlfn.XLOOKUP(C847, customers!$A$2:$A$1001, customers!$B$2:$B$1001, , 0, 1)</f>
        <v>Murielle Lorinez</v>
      </c>
      <c r="G847" s="2" t="str">
        <f>IF(_xlfn.XLOOKUP(C847,customers!$A$2:$A$1001,customers!$C$2:$C$1001,,0,1)=0,"",_xlfn.XLOOKUP(C847,customers!$A$2:$A$1001,customers!$C$2:$C$1001,,0,1))</f>
        <v>mlorineznh@whitehouse.gov</v>
      </c>
      <c r="H847" s="2" t="str">
        <f>_xlfn.XLOOKUP(C847, customers!$A$2:$A$1001, customers!$G$2:$G$1001, , 0, 1)</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t="str">
        <f>_xlfn.XLOOKUP(C848, customers!$A$2:$A$1001, customers!$B$2:$B$1001, , 0, 1)</f>
        <v>Edin Mathe</v>
      </c>
      <c r="G848" s="2" t="str">
        <f>IF(_xlfn.XLOOKUP(C848,customers!$A$2:$A$1001,customers!$C$2:$C$1001,,0,1)=0,"",_xlfn.XLOOKUP(C848,customers!$A$2:$A$1001,customers!$C$2:$C$1001,,0,1))</f>
        <v/>
      </c>
      <c r="H848" s="2" t="str">
        <f>_xlfn.XLOOKUP(C848, customers!$A$2:$A$1001, customers!$G$2:$G$1001, , 0, 1)</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t="str">
        <f>_xlfn.XLOOKUP(C849, customers!$A$2:$A$1001, customers!$B$2:$B$1001, , 0, 1)</f>
        <v>Mordy Van Der Vlies</v>
      </c>
      <c r="G849" s="2" t="str">
        <f>IF(_xlfn.XLOOKUP(C849,customers!$A$2:$A$1001,customers!$C$2:$C$1001,,0,1)=0,"",_xlfn.XLOOKUP(C849,customers!$A$2:$A$1001,customers!$C$2:$C$1001,,0,1))</f>
        <v>mvannj@wikipedia.org</v>
      </c>
      <c r="H849" s="2" t="str">
        <f>_xlfn.XLOOKUP(C849, customers!$A$2:$A$1001, customers!$G$2:$G$1001, , 0, 1)</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t="str">
        <f>_xlfn.XLOOKUP(C850, customers!$A$2:$A$1001, customers!$B$2:$B$1001, , 0, 1)</f>
        <v>Spencer Wastell</v>
      </c>
      <c r="G850" s="2" t="str">
        <f>IF(_xlfn.XLOOKUP(C850,customers!$A$2:$A$1001,customers!$C$2:$C$1001,,0,1)=0,"",_xlfn.XLOOKUP(C850,customers!$A$2:$A$1001,customers!$C$2:$C$1001,,0,1))</f>
        <v/>
      </c>
      <c r="H850" s="2" t="str">
        <f>_xlfn.XLOOKUP(C850, customers!$A$2:$A$1001, customers!$G$2:$G$1001, , 0, 1)</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Large</v>
      </c>
      <c r="P850" t="str">
        <f>_xlfn.XLOOKUP(Orders[[#This Row],[Customer ID]],customers!$A$1:$A$1001,customers!$I$1:$I$1001,"",0)</f>
        <v>No</v>
      </c>
    </row>
    <row r="851" spans="1:16" x14ac:dyDescent="0.3">
      <c r="A851" s="2" t="s">
        <v>5288</v>
      </c>
      <c r="B851" s="3">
        <v>44628</v>
      </c>
      <c r="C851" s="2" t="s">
        <v>5289</v>
      </c>
      <c r="D851" t="s">
        <v>6167</v>
      </c>
      <c r="E851" s="2">
        <v>6</v>
      </c>
      <c r="F851" t="str">
        <f>_xlfn.XLOOKUP(C851, customers!$A$2:$A$1001, customers!$B$2:$B$1001, , 0, 1)</f>
        <v>Jemimah Ethelston</v>
      </c>
      <c r="G851" s="2" t="str">
        <f>IF(_xlfn.XLOOKUP(C851,customers!$A$2:$A$1001,customers!$C$2:$C$1001,,0,1)=0,"",_xlfn.XLOOKUP(C851,customers!$A$2:$A$1001,customers!$C$2:$C$1001,,0,1))</f>
        <v>jethelstonnl@creativecommons.org</v>
      </c>
      <c r="H851" s="2" t="str">
        <f>_xlfn.XLOOKUP(C851, customers!$A$2:$A$1001, customers!$G$2:$G$1001, , 0, 1)</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Large</v>
      </c>
      <c r="P851" t="str">
        <f>_xlfn.XLOOKUP(Orders[[#This Row],[Customer ID]],customers!$A$1:$A$1001,customers!$I$1:$I$1001,"",0)</f>
        <v>Yes</v>
      </c>
    </row>
    <row r="852" spans="1:16" x14ac:dyDescent="0.3">
      <c r="A852" s="2" t="s">
        <v>5288</v>
      </c>
      <c r="B852" s="3">
        <v>44628</v>
      </c>
      <c r="C852" s="2" t="s">
        <v>5289</v>
      </c>
      <c r="D852" t="s">
        <v>6152</v>
      </c>
      <c r="E852" s="2">
        <v>2</v>
      </c>
      <c r="F852" t="str">
        <f>_xlfn.XLOOKUP(C852, customers!$A$2:$A$1001, customers!$B$2:$B$1001, , 0, 1)</f>
        <v>Jemimah Ethelston</v>
      </c>
      <c r="G852" s="2" t="str">
        <f>IF(_xlfn.XLOOKUP(C852,customers!$A$2:$A$1001,customers!$C$2:$C$1001,,0,1)=0,"",_xlfn.XLOOKUP(C852,customers!$A$2:$A$1001,customers!$C$2:$C$1001,,0,1))</f>
        <v>jethelstonnl@creativecommons.org</v>
      </c>
      <c r="H852" s="2" t="str">
        <f>_xlfn.XLOOKUP(C852, customers!$A$2:$A$1001, customers!$G$2:$G$1001, , 0, 1)</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t="str">
        <f>_xlfn.XLOOKUP(C853, customers!$A$2:$A$1001, customers!$B$2:$B$1001, , 0, 1)</f>
        <v>Perice Eberz</v>
      </c>
      <c r="G853" s="2" t="str">
        <f>IF(_xlfn.XLOOKUP(C853,customers!$A$2:$A$1001,customers!$C$2:$C$1001,,0,1)=0,"",_xlfn.XLOOKUP(C853,customers!$A$2:$A$1001,customers!$C$2:$C$1001,,0,1))</f>
        <v>peberznn@woothemes.com</v>
      </c>
      <c r="H853" s="2" t="str">
        <f>_xlfn.XLOOKUP(C853, customers!$A$2:$A$1001, customers!$G$2:$G$1001, , 0, 1)</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t="str">
        <f>_xlfn.XLOOKUP(C854, customers!$A$2:$A$1001, customers!$B$2:$B$1001, , 0, 1)</f>
        <v>Bear Gaish</v>
      </c>
      <c r="G854" s="2" t="str">
        <f>IF(_xlfn.XLOOKUP(C854,customers!$A$2:$A$1001,customers!$C$2:$C$1001,,0,1)=0,"",_xlfn.XLOOKUP(C854,customers!$A$2:$A$1001,customers!$C$2:$C$1001,,0,1))</f>
        <v>bgaishno@altervista.org</v>
      </c>
      <c r="H854" s="2" t="str">
        <f>_xlfn.XLOOKUP(C854, customers!$A$2:$A$1001, customers!$G$2:$G$1001, , 0, 1)</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t="str">
        <f>_xlfn.XLOOKUP(C855, customers!$A$2:$A$1001, customers!$B$2:$B$1001, , 0, 1)</f>
        <v>Lynnea Danton</v>
      </c>
      <c r="G855" s="2" t="str">
        <f>IF(_xlfn.XLOOKUP(C855,customers!$A$2:$A$1001,customers!$C$2:$C$1001,,0,1)=0,"",_xlfn.XLOOKUP(C855,customers!$A$2:$A$1001,customers!$C$2:$C$1001,,0,1))</f>
        <v>ldantonnp@miitbeian.gov.cn</v>
      </c>
      <c r="H855" s="2" t="str">
        <f>_xlfn.XLOOKUP(C855, customers!$A$2:$A$1001, customers!$G$2:$G$1001, , 0, 1)</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t="str">
        <f>_xlfn.XLOOKUP(C856, customers!$A$2:$A$1001, customers!$B$2:$B$1001, , 0, 1)</f>
        <v>Skipton Morrall</v>
      </c>
      <c r="G856" s="2" t="str">
        <f>IF(_xlfn.XLOOKUP(C856,customers!$A$2:$A$1001,customers!$C$2:$C$1001,,0,1)=0,"",_xlfn.XLOOKUP(C856,customers!$A$2:$A$1001,customers!$C$2:$C$1001,,0,1))</f>
        <v>smorrallnq@answers.com</v>
      </c>
      <c r="H856" s="2" t="str">
        <f>_xlfn.XLOOKUP(C856, customers!$A$2:$A$1001, customers!$G$2:$G$1001, , 0, 1)</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Large</v>
      </c>
      <c r="P856" t="str">
        <f>_xlfn.XLOOKUP(Orders[[#This Row],[Customer ID]],customers!$A$1:$A$1001,customers!$I$1:$I$1001,"",0)</f>
        <v>Yes</v>
      </c>
    </row>
    <row r="857" spans="1:16" x14ac:dyDescent="0.3">
      <c r="A857" s="2" t="s">
        <v>5321</v>
      </c>
      <c r="B857" s="3">
        <v>43632</v>
      </c>
      <c r="C857" s="2" t="s">
        <v>5322</v>
      </c>
      <c r="D857" t="s">
        <v>6165</v>
      </c>
      <c r="E857" s="2">
        <v>3</v>
      </c>
      <c r="F857" t="str">
        <f>_xlfn.XLOOKUP(C857, customers!$A$2:$A$1001, customers!$B$2:$B$1001, , 0, 1)</f>
        <v>Devan Crownshaw</v>
      </c>
      <c r="G857" s="2" t="str">
        <f>IF(_xlfn.XLOOKUP(C857,customers!$A$2:$A$1001,customers!$C$2:$C$1001,,0,1)=0,"",_xlfn.XLOOKUP(C857,customers!$A$2:$A$1001,customers!$C$2:$C$1001,,0,1))</f>
        <v>dcrownshawnr@photobucket.com</v>
      </c>
      <c r="H857" s="2" t="str">
        <f>_xlfn.XLOOKUP(C857, customers!$A$2:$A$1001, customers!$G$2:$G$1001, , 0, 1)</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t="str">
        <f>_xlfn.XLOOKUP(C858, customers!$A$2:$A$1001, customers!$B$2:$B$1001, , 0, 1)</f>
        <v>Odelia Skerme</v>
      </c>
      <c r="G858" s="2" t="str">
        <f>IF(_xlfn.XLOOKUP(C858,customers!$A$2:$A$1001,customers!$C$2:$C$1001,,0,1)=0,"",_xlfn.XLOOKUP(C858,customers!$A$2:$A$1001,customers!$C$2:$C$1001,,0,1))</f>
        <v>oskermen3@hatena.ne.jp</v>
      </c>
      <c r="H858" s="2" t="str">
        <f>_xlfn.XLOOKUP(C858, customers!$A$2:$A$1001, customers!$G$2:$G$1001, , 0, 1)</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t="str">
        <f>_xlfn.XLOOKUP(C859, customers!$A$2:$A$1001, customers!$B$2:$B$1001, , 0, 1)</f>
        <v>Joceline Reddoch</v>
      </c>
      <c r="G859" s="2" t="str">
        <f>IF(_xlfn.XLOOKUP(C859,customers!$A$2:$A$1001,customers!$C$2:$C$1001,,0,1)=0,"",_xlfn.XLOOKUP(C859,customers!$A$2:$A$1001,customers!$C$2:$C$1001,,0,1))</f>
        <v>jreddochnt@sun.com</v>
      </c>
      <c r="H859" s="2" t="str">
        <f>_xlfn.XLOOKUP(C859, customers!$A$2:$A$1001, customers!$G$2:$G$1001, , 0, 1)</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Large</v>
      </c>
      <c r="P859" t="str">
        <f>_xlfn.XLOOKUP(Orders[[#This Row],[Customer ID]],customers!$A$1:$A$1001,customers!$I$1:$I$1001,"",0)</f>
        <v>No</v>
      </c>
    </row>
    <row r="860" spans="1:16" x14ac:dyDescent="0.3">
      <c r="A860" s="2" t="s">
        <v>5339</v>
      </c>
      <c r="B860" s="3">
        <v>43638</v>
      </c>
      <c r="C860" s="2" t="s">
        <v>5340</v>
      </c>
      <c r="D860" t="s">
        <v>6160</v>
      </c>
      <c r="E860" s="2">
        <v>4</v>
      </c>
      <c r="F860" t="str">
        <f>_xlfn.XLOOKUP(C860, customers!$A$2:$A$1001, customers!$B$2:$B$1001, , 0, 1)</f>
        <v>Shelley Titley</v>
      </c>
      <c r="G860" s="2" t="str">
        <f>IF(_xlfn.XLOOKUP(C860,customers!$A$2:$A$1001,customers!$C$2:$C$1001,,0,1)=0,"",_xlfn.XLOOKUP(C860,customers!$A$2:$A$1001,customers!$C$2:$C$1001,,0,1))</f>
        <v>stitleynu@whitehouse.gov</v>
      </c>
      <c r="H860" s="2" t="str">
        <f>_xlfn.XLOOKUP(C860, customers!$A$2:$A$1001, customers!$G$2:$G$1001, , 0, 1)</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t="str">
        <f>_xlfn.XLOOKUP(C861, customers!$A$2:$A$1001, customers!$B$2:$B$1001, , 0, 1)</f>
        <v>Redd Simao</v>
      </c>
      <c r="G861" s="2" t="str">
        <f>IF(_xlfn.XLOOKUP(C861,customers!$A$2:$A$1001,customers!$C$2:$C$1001,,0,1)=0,"",_xlfn.XLOOKUP(C861,customers!$A$2:$A$1001,customers!$C$2:$C$1001,,0,1))</f>
        <v>rsimaonv@simplemachines.org</v>
      </c>
      <c r="H861" s="2" t="str">
        <f>_xlfn.XLOOKUP(C861, customers!$A$2:$A$1001, customers!$G$2:$G$1001, , 0, 1)</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Large</v>
      </c>
      <c r="P861" t="str">
        <f>_xlfn.XLOOKUP(Orders[[#This Row],[Customer ID]],customers!$A$1:$A$1001,customers!$I$1:$I$1001,"",0)</f>
        <v>No</v>
      </c>
    </row>
    <row r="862" spans="1:16" x14ac:dyDescent="0.3">
      <c r="A862" s="2" t="s">
        <v>5351</v>
      </c>
      <c r="B862" s="3">
        <v>44707</v>
      </c>
      <c r="C862" s="2" t="s">
        <v>5352</v>
      </c>
      <c r="D862" t="s">
        <v>6175</v>
      </c>
      <c r="E862" s="2">
        <v>1</v>
      </c>
      <c r="F862" t="str">
        <f>_xlfn.XLOOKUP(C862, customers!$A$2:$A$1001, customers!$B$2:$B$1001, , 0, 1)</f>
        <v>Cece Inker</v>
      </c>
      <c r="G862" s="2" t="str">
        <f>IF(_xlfn.XLOOKUP(C862,customers!$A$2:$A$1001,customers!$C$2:$C$1001,,0,1)=0,"",_xlfn.XLOOKUP(C862,customers!$A$2:$A$1001,customers!$C$2:$C$1001,,0,1))</f>
        <v/>
      </c>
      <c r="H862" s="2" t="str">
        <f>_xlfn.XLOOKUP(C862, customers!$A$2:$A$1001, customers!$G$2:$G$1001, , 0, 1)</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t="str">
        <f>_xlfn.XLOOKUP(C863, customers!$A$2:$A$1001, customers!$B$2:$B$1001, , 0, 1)</f>
        <v>Noel Chisholm</v>
      </c>
      <c r="G863" s="2" t="str">
        <f>IF(_xlfn.XLOOKUP(C863,customers!$A$2:$A$1001,customers!$C$2:$C$1001,,0,1)=0,"",_xlfn.XLOOKUP(C863,customers!$A$2:$A$1001,customers!$C$2:$C$1001,,0,1))</f>
        <v>nchisholmnx@example.com</v>
      </c>
      <c r="H863" s="2" t="str">
        <f>_xlfn.XLOOKUP(C863, customers!$A$2:$A$1001, customers!$G$2:$G$1001, , 0, 1)</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t="str">
        <f>_xlfn.XLOOKUP(C864, customers!$A$2:$A$1001, customers!$B$2:$B$1001, , 0, 1)</f>
        <v>Grazia Oats</v>
      </c>
      <c r="G864" s="2" t="str">
        <f>IF(_xlfn.XLOOKUP(C864,customers!$A$2:$A$1001,customers!$C$2:$C$1001,,0,1)=0,"",_xlfn.XLOOKUP(C864,customers!$A$2:$A$1001,customers!$C$2:$C$1001,,0,1))</f>
        <v>goatsny@live.com</v>
      </c>
      <c r="H864" s="2" t="str">
        <f>_xlfn.XLOOKUP(C864, customers!$A$2:$A$1001, customers!$G$2:$G$1001, , 0, 1)</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t="str">
        <f>_xlfn.XLOOKUP(C865, customers!$A$2:$A$1001, customers!$B$2:$B$1001, , 0, 1)</f>
        <v>Meade Birkin</v>
      </c>
      <c r="G865" s="2" t="str">
        <f>IF(_xlfn.XLOOKUP(C865,customers!$A$2:$A$1001,customers!$C$2:$C$1001,,0,1)=0,"",_xlfn.XLOOKUP(C865,customers!$A$2:$A$1001,customers!$C$2:$C$1001,,0,1))</f>
        <v>mbirkinnz@java.com</v>
      </c>
      <c r="H865" s="2" t="str">
        <f>_xlfn.XLOOKUP(C865, customers!$A$2:$A$1001, customers!$G$2:$G$1001, , 0, 1)</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t="str">
        <f>_xlfn.XLOOKUP(C866, customers!$A$2:$A$1001, customers!$B$2:$B$1001, , 0, 1)</f>
        <v>Ronda Pyson</v>
      </c>
      <c r="G866" s="2" t="str">
        <f>IF(_xlfn.XLOOKUP(C866,customers!$A$2:$A$1001,customers!$C$2:$C$1001,,0,1)=0,"",_xlfn.XLOOKUP(C866,customers!$A$2:$A$1001,customers!$C$2:$C$1001,,0,1))</f>
        <v>rpysono0@constantcontact.com</v>
      </c>
      <c r="H866" s="2" t="str">
        <f>_xlfn.XLOOKUP(C866, customers!$A$2:$A$1001, customers!$G$2:$G$1001, , 0, 1)</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Large</v>
      </c>
      <c r="P866" t="str">
        <f>_xlfn.XLOOKUP(Orders[[#This Row],[Customer ID]],customers!$A$1:$A$1001,customers!$I$1:$I$1001,"",0)</f>
        <v>No</v>
      </c>
    </row>
    <row r="867" spans="1:16" x14ac:dyDescent="0.3">
      <c r="A867" s="2" t="s">
        <v>5380</v>
      </c>
      <c r="B867" s="3">
        <v>44675</v>
      </c>
      <c r="C867" s="2" t="s">
        <v>5428</v>
      </c>
      <c r="D867" t="s">
        <v>6157</v>
      </c>
      <c r="E867" s="2">
        <v>1</v>
      </c>
      <c r="F867" t="str">
        <f>_xlfn.XLOOKUP(C867, customers!$A$2:$A$1001, customers!$B$2:$B$1001, , 0, 1)</f>
        <v>Modesty MacConnechie</v>
      </c>
      <c r="G867" s="2" t="str">
        <f>IF(_xlfn.XLOOKUP(C867,customers!$A$2:$A$1001,customers!$C$2:$C$1001,,0,1)=0,"",_xlfn.XLOOKUP(C867,customers!$A$2:$A$1001,customers!$C$2:$C$1001,,0,1))</f>
        <v>mmacconnechieo9@reuters.com</v>
      </c>
      <c r="H867" s="2" t="str">
        <f>_xlfn.XLOOKUP(C867, customers!$A$2:$A$1001, customers!$G$2:$G$1001, , 0, 1)</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t="str">
        <f>_xlfn.XLOOKUP(C868, customers!$A$2:$A$1001, customers!$B$2:$B$1001, , 0, 1)</f>
        <v>Rafaela Treacher</v>
      </c>
      <c r="G868" s="2" t="str">
        <f>IF(_xlfn.XLOOKUP(C868,customers!$A$2:$A$1001,customers!$C$2:$C$1001,,0,1)=0,"",_xlfn.XLOOKUP(C868,customers!$A$2:$A$1001,customers!$C$2:$C$1001,,0,1))</f>
        <v>rtreachero2@usa.gov</v>
      </c>
      <c r="H868" s="2" t="str">
        <f>_xlfn.XLOOKUP(C868, customers!$A$2:$A$1001, customers!$G$2:$G$1001, , 0, 1)</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t="str">
        <f>_xlfn.XLOOKUP(C869, customers!$A$2:$A$1001, customers!$B$2:$B$1001, , 0, 1)</f>
        <v>Bee Fattorini</v>
      </c>
      <c r="G869" s="2" t="str">
        <f>IF(_xlfn.XLOOKUP(C869,customers!$A$2:$A$1001,customers!$C$2:$C$1001,,0,1)=0,"",_xlfn.XLOOKUP(C869,customers!$A$2:$A$1001,customers!$C$2:$C$1001,,0,1))</f>
        <v>bfattorinio3@quantcast.com</v>
      </c>
      <c r="H869" s="2" t="str">
        <f>_xlfn.XLOOKUP(C869, customers!$A$2:$A$1001, customers!$G$2:$G$1001, , 0, 1)</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Large</v>
      </c>
      <c r="P869" t="str">
        <f>_xlfn.XLOOKUP(Orders[[#This Row],[Customer ID]],customers!$A$1:$A$1001,customers!$I$1:$I$1001,"",0)</f>
        <v>Yes</v>
      </c>
    </row>
    <row r="870" spans="1:16" x14ac:dyDescent="0.3">
      <c r="A870" s="2" t="s">
        <v>5396</v>
      </c>
      <c r="B870" s="3">
        <v>43526</v>
      </c>
      <c r="C870" s="2" t="s">
        <v>5397</v>
      </c>
      <c r="D870" t="s">
        <v>6139</v>
      </c>
      <c r="E870" s="2">
        <v>5</v>
      </c>
      <c r="F870" t="str">
        <f>_xlfn.XLOOKUP(C870, customers!$A$2:$A$1001, customers!$B$2:$B$1001, , 0, 1)</f>
        <v>Margie Palleske</v>
      </c>
      <c r="G870" s="2" t="str">
        <f>IF(_xlfn.XLOOKUP(C870,customers!$A$2:$A$1001,customers!$C$2:$C$1001,,0,1)=0,"",_xlfn.XLOOKUP(C870,customers!$A$2:$A$1001,customers!$C$2:$C$1001,,0,1))</f>
        <v>mpalleskeo4@nyu.edu</v>
      </c>
      <c r="H870" s="2" t="str">
        <f>_xlfn.XLOOKUP(C870, customers!$A$2:$A$1001, customers!$G$2:$G$1001, , 0, 1)</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t="str">
        <f>_xlfn.XLOOKUP(C871, customers!$A$2:$A$1001, customers!$B$2:$B$1001, , 0, 1)</f>
        <v>Alexina Randals</v>
      </c>
      <c r="G871" s="2" t="str">
        <f>IF(_xlfn.XLOOKUP(C871,customers!$A$2:$A$1001,customers!$C$2:$C$1001,,0,1)=0,"",_xlfn.XLOOKUP(C871,customers!$A$2:$A$1001,customers!$C$2:$C$1001,,0,1))</f>
        <v/>
      </c>
      <c r="H871" s="2" t="str">
        <f>_xlfn.XLOOKUP(C871, customers!$A$2:$A$1001, customers!$G$2:$G$1001, , 0, 1)</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t="str">
        <f>_xlfn.XLOOKUP(C872, customers!$A$2:$A$1001, customers!$B$2:$B$1001, , 0, 1)</f>
        <v>Filip Antcliffe</v>
      </c>
      <c r="G872" s="2" t="str">
        <f>IF(_xlfn.XLOOKUP(C872,customers!$A$2:$A$1001,customers!$C$2:$C$1001,,0,1)=0,"",_xlfn.XLOOKUP(C872,customers!$A$2:$A$1001,customers!$C$2:$C$1001,,0,1))</f>
        <v>fantcliffeo6@amazon.co.jp</v>
      </c>
      <c r="H872" s="2" t="str">
        <f>_xlfn.XLOOKUP(C872, customers!$A$2:$A$1001, customers!$G$2:$G$1001, , 0, 1)</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t="str">
        <f>_xlfn.XLOOKUP(C873, customers!$A$2:$A$1001, customers!$B$2:$B$1001, , 0, 1)</f>
        <v>Peyter Matignon</v>
      </c>
      <c r="G873" s="2" t="str">
        <f>IF(_xlfn.XLOOKUP(C873,customers!$A$2:$A$1001,customers!$C$2:$C$1001,,0,1)=0,"",_xlfn.XLOOKUP(C873,customers!$A$2:$A$1001,customers!$C$2:$C$1001,,0,1))</f>
        <v>pmatignono7@harvard.edu</v>
      </c>
      <c r="H873" s="2" t="str">
        <f>_xlfn.XLOOKUP(C873, customers!$A$2:$A$1001, customers!$G$2:$G$1001, , 0, 1)</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Large</v>
      </c>
      <c r="P873" t="str">
        <f>_xlfn.XLOOKUP(Orders[[#This Row],[Customer ID]],customers!$A$1:$A$1001,customers!$I$1:$I$1001,"",0)</f>
        <v>Yes</v>
      </c>
    </row>
    <row r="874" spans="1:16" x14ac:dyDescent="0.3">
      <c r="A874" s="2" t="s">
        <v>5421</v>
      </c>
      <c r="B874" s="3">
        <v>43521</v>
      </c>
      <c r="C874" s="2" t="s">
        <v>5422</v>
      </c>
      <c r="D874" t="s">
        <v>6155</v>
      </c>
      <c r="E874" s="2">
        <v>2</v>
      </c>
      <c r="F874" t="str">
        <f>_xlfn.XLOOKUP(C874, customers!$A$2:$A$1001, customers!$B$2:$B$1001, , 0, 1)</f>
        <v>Claudie Weond</v>
      </c>
      <c r="G874" s="2" t="str">
        <f>IF(_xlfn.XLOOKUP(C874,customers!$A$2:$A$1001,customers!$C$2:$C$1001,,0,1)=0,"",_xlfn.XLOOKUP(C874,customers!$A$2:$A$1001,customers!$C$2:$C$1001,,0,1))</f>
        <v>cweondo8@theglobeandmail.com</v>
      </c>
      <c r="H874" s="2" t="str">
        <f>_xlfn.XLOOKUP(C874, customers!$A$2:$A$1001, customers!$G$2:$G$1001, , 0, 1)</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t="str">
        <f>_xlfn.XLOOKUP(C875, customers!$A$2:$A$1001, customers!$B$2:$B$1001, , 0, 1)</f>
        <v>Modesty MacConnechie</v>
      </c>
      <c r="G875" s="2" t="str">
        <f>IF(_xlfn.XLOOKUP(C875,customers!$A$2:$A$1001,customers!$C$2:$C$1001,,0,1)=0,"",_xlfn.XLOOKUP(C875,customers!$A$2:$A$1001,customers!$C$2:$C$1001,,0,1))</f>
        <v>mmacconnechieo9@reuters.com</v>
      </c>
      <c r="H875" s="2" t="str">
        <f>_xlfn.XLOOKUP(C875, customers!$A$2:$A$1001, customers!$G$2:$G$1001, , 0, 1)</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t="str">
        <f>_xlfn.XLOOKUP(C876, customers!$A$2:$A$1001, customers!$B$2:$B$1001, , 0, 1)</f>
        <v>Jaquenette Skentelbery</v>
      </c>
      <c r="G876" s="2" t="str">
        <f>IF(_xlfn.XLOOKUP(C876,customers!$A$2:$A$1001,customers!$C$2:$C$1001,,0,1)=0,"",_xlfn.XLOOKUP(C876,customers!$A$2:$A$1001,customers!$C$2:$C$1001,,0,1))</f>
        <v>jskentelberyoa@paypal.com</v>
      </c>
      <c r="H876" s="2" t="str">
        <f>_xlfn.XLOOKUP(C876, customers!$A$2:$A$1001, customers!$G$2:$G$1001, , 0, 1)</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Large</v>
      </c>
      <c r="P876" t="str">
        <f>_xlfn.XLOOKUP(Orders[[#This Row],[Customer ID]],customers!$A$1:$A$1001,customers!$I$1:$I$1001,"",0)</f>
        <v>No</v>
      </c>
    </row>
    <row r="877" spans="1:16" x14ac:dyDescent="0.3">
      <c r="A877" s="2" t="s">
        <v>5439</v>
      </c>
      <c r="B877" s="3">
        <v>44253</v>
      </c>
      <c r="C877" s="2" t="s">
        <v>5440</v>
      </c>
      <c r="D877" t="s">
        <v>6160</v>
      </c>
      <c r="E877" s="2">
        <v>5</v>
      </c>
      <c r="F877" t="str">
        <f>_xlfn.XLOOKUP(C877, customers!$A$2:$A$1001, customers!$B$2:$B$1001, , 0, 1)</f>
        <v>Orazio Comber</v>
      </c>
      <c r="G877" s="2" t="str">
        <f>IF(_xlfn.XLOOKUP(C877,customers!$A$2:$A$1001,customers!$C$2:$C$1001,,0,1)=0,"",_xlfn.XLOOKUP(C877,customers!$A$2:$A$1001,customers!$C$2:$C$1001,,0,1))</f>
        <v>ocomberob@goo.gl</v>
      </c>
      <c r="H877" s="2" t="str">
        <f>_xlfn.XLOOKUP(C877, customers!$A$2:$A$1001, customers!$G$2:$G$1001, , 0, 1)</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t="str">
        <f>_xlfn.XLOOKUP(C878, customers!$A$2:$A$1001, customers!$B$2:$B$1001, , 0, 1)</f>
        <v>Orazio Comber</v>
      </c>
      <c r="G878" s="2" t="str">
        <f>IF(_xlfn.XLOOKUP(C878,customers!$A$2:$A$1001,customers!$C$2:$C$1001,,0,1)=0,"",_xlfn.XLOOKUP(C878,customers!$A$2:$A$1001,customers!$C$2:$C$1001,,0,1))</f>
        <v>ocomberob@goo.gl</v>
      </c>
      <c r="H878" s="2" t="str">
        <f>_xlfn.XLOOKUP(C878, customers!$A$2:$A$1001, customers!$G$2:$G$1001, , 0, 1)</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Large</v>
      </c>
      <c r="P878" t="str">
        <f>_xlfn.XLOOKUP(Orders[[#This Row],[Customer ID]],customers!$A$1:$A$1001,customers!$I$1:$I$1001,"",0)</f>
        <v>No</v>
      </c>
    </row>
    <row r="879" spans="1:16" x14ac:dyDescent="0.3">
      <c r="A879" s="2" t="s">
        <v>5450</v>
      </c>
      <c r="B879" s="3">
        <v>44411</v>
      </c>
      <c r="C879" s="2" t="s">
        <v>5451</v>
      </c>
      <c r="D879" t="s">
        <v>6161</v>
      </c>
      <c r="E879" s="2">
        <v>3</v>
      </c>
      <c r="F879" t="str">
        <f>_xlfn.XLOOKUP(C879, customers!$A$2:$A$1001, customers!$B$2:$B$1001, , 0, 1)</f>
        <v>Zachary Tramel</v>
      </c>
      <c r="G879" s="2" t="str">
        <f>IF(_xlfn.XLOOKUP(C879,customers!$A$2:$A$1001,customers!$C$2:$C$1001,,0,1)=0,"",_xlfn.XLOOKUP(C879,customers!$A$2:$A$1001,customers!$C$2:$C$1001,,0,1))</f>
        <v>ztramelod@netlog.com</v>
      </c>
      <c r="H879" s="2" t="str">
        <f>_xlfn.XLOOKUP(C879, customers!$A$2:$A$1001, customers!$G$2:$G$1001, , 0, 1)</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Large</v>
      </c>
      <c r="P879" t="str">
        <f>_xlfn.XLOOKUP(Orders[[#This Row],[Customer ID]],customers!$A$1:$A$1001,customers!$I$1:$I$1001,"",0)</f>
        <v>No</v>
      </c>
    </row>
    <row r="880" spans="1:16" x14ac:dyDescent="0.3">
      <c r="A880" s="2" t="s">
        <v>5456</v>
      </c>
      <c r="B880" s="3">
        <v>44323</v>
      </c>
      <c r="C880" s="2" t="s">
        <v>5457</v>
      </c>
      <c r="D880" t="s">
        <v>6142</v>
      </c>
      <c r="E880" s="2">
        <v>1</v>
      </c>
      <c r="F880" t="str">
        <f>_xlfn.XLOOKUP(C880, customers!$A$2:$A$1001, customers!$B$2:$B$1001, , 0, 1)</f>
        <v>Izaak Primak</v>
      </c>
      <c r="G880" s="2" t="str">
        <f>IF(_xlfn.XLOOKUP(C880,customers!$A$2:$A$1001,customers!$C$2:$C$1001,,0,1)=0,"",_xlfn.XLOOKUP(C880,customers!$A$2:$A$1001,customers!$C$2:$C$1001,,0,1))</f>
        <v/>
      </c>
      <c r="H880" s="2" t="str">
        <f>_xlfn.XLOOKUP(C880, customers!$A$2:$A$1001, customers!$G$2:$G$1001, , 0, 1)</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Large</v>
      </c>
      <c r="P880" t="str">
        <f>_xlfn.XLOOKUP(Orders[[#This Row],[Customer ID]],customers!$A$1:$A$1001,customers!$I$1:$I$1001,"",0)</f>
        <v>Yes</v>
      </c>
    </row>
    <row r="881" spans="1:16" x14ac:dyDescent="0.3">
      <c r="A881" s="2" t="s">
        <v>5461</v>
      </c>
      <c r="B881" s="3">
        <v>43630</v>
      </c>
      <c r="C881" s="2" t="s">
        <v>5462</v>
      </c>
      <c r="D881" t="s">
        <v>6153</v>
      </c>
      <c r="E881" s="2">
        <v>3</v>
      </c>
      <c r="F881" t="str">
        <f>_xlfn.XLOOKUP(C881, customers!$A$2:$A$1001, customers!$B$2:$B$1001, , 0, 1)</f>
        <v>Brittani Thoresbie</v>
      </c>
      <c r="G881" s="2" t="str">
        <f>IF(_xlfn.XLOOKUP(C881,customers!$A$2:$A$1001,customers!$C$2:$C$1001,,0,1)=0,"",_xlfn.XLOOKUP(C881,customers!$A$2:$A$1001,customers!$C$2:$C$1001,,0,1))</f>
        <v/>
      </c>
      <c r="H881" s="2" t="str">
        <f>_xlfn.XLOOKUP(C881, customers!$A$2:$A$1001, customers!$G$2:$G$1001, , 0, 1)</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t="str">
        <f>_xlfn.XLOOKUP(C882, customers!$A$2:$A$1001, customers!$B$2:$B$1001, , 0, 1)</f>
        <v>Constanta Hatfull</v>
      </c>
      <c r="G882" s="2" t="str">
        <f>IF(_xlfn.XLOOKUP(C882,customers!$A$2:$A$1001,customers!$C$2:$C$1001,,0,1)=0,"",_xlfn.XLOOKUP(C882,customers!$A$2:$A$1001,customers!$C$2:$C$1001,,0,1))</f>
        <v>chatfullog@ebay.com</v>
      </c>
      <c r="H882" s="2" t="str">
        <f>_xlfn.XLOOKUP(C882, customers!$A$2:$A$1001, customers!$G$2:$G$1001, , 0, 1)</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Large</v>
      </c>
      <c r="P882" t="str">
        <f>_xlfn.XLOOKUP(Orders[[#This Row],[Customer ID]],customers!$A$1:$A$1001,customers!$I$1:$I$1001,"",0)</f>
        <v>No</v>
      </c>
    </row>
    <row r="883" spans="1:16" x14ac:dyDescent="0.3">
      <c r="A883" s="2" t="s">
        <v>5472</v>
      </c>
      <c r="B883" s="3">
        <v>44286</v>
      </c>
      <c r="C883" s="2" t="s">
        <v>5473</v>
      </c>
      <c r="D883" t="s">
        <v>6167</v>
      </c>
      <c r="E883" s="2">
        <v>6</v>
      </c>
      <c r="F883" t="str">
        <f>_xlfn.XLOOKUP(C883, customers!$A$2:$A$1001, customers!$B$2:$B$1001, , 0, 1)</f>
        <v>Bobbe Castagneto</v>
      </c>
      <c r="G883" s="2" t="str">
        <f>IF(_xlfn.XLOOKUP(C883,customers!$A$2:$A$1001,customers!$C$2:$C$1001,,0,1)=0,"",_xlfn.XLOOKUP(C883,customers!$A$2:$A$1001,customers!$C$2:$C$1001,,0,1))</f>
        <v/>
      </c>
      <c r="H883" s="2" t="str">
        <f>_xlfn.XLOOKUP(C883, customers!$A$2:$A$1001, customers!$G$2:$G$1001, , 0, 1)</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Large</v>
      </c>
      <c r="P883" t="str">
        <f>_xlfn.XLOOKUP(Orders[[#This Row],[Customer ID]],customers!$A$1:$A$1001,customers!$I$1:$I$1001,"",0)</f>
        <v>Yes</v>
      </c>
    </row>
    <row r="884" spans="1:16" x14ac:dyDescent="0.3">
      <c r="A884" s="2" t="s">
        <v>5477</v>
      </c>
      <c r="B884" s="3">
        <v>43647</v>
      </c>
      <c r="C884" s="2" t="s">
        <v>5526</v>
      </c>
      <c r="D884" t="s">
        <v>6168</v>
      </c>
      <c r="E884" s="2">
        <v>5</v>
      </c>
      <c r="F884" t="str">
        <f>_xlfn.XLOOKUP(C884, customers!$A$2:$A$1001, customers!$B$2:$B$1001, , 0, 1)</f>
        <v>Kippie Marrison</v>
      </c>
      <c r="G884" s="2" t="str">
        <f>IF(_xlfn.XLOOKUP(C884,customers!$A$2:$A$1001,customers!$C$2:$C$1001,,0,1)=0,"",_xlfn.XLOOKUP(C884,customers!$A$2:$A$1001,customers!$C$2:$C$1001,,0,1))</f>
        <v>kmarrisonoq@dropbox.com</v>
      </c>
      <c r="H884" s="2" t="str">
        <f>_xlfn.XLOOKUP(C884, customers!$A$2:$A$1001, customers!$G$2:$G$1001, , 0, 1)</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t="str">
        <f>_xlfn.XLOOKUP(C885, customers!$A$2:$A$1001, customers!$B$2:$B$1001, , 0, 1)</f>
        <v>Lindon Agnolo</v>
      </c>
      <c r="G885" s="2" t="str">
        <f>IF(_xlfn.XLOOKUP(C885,customers!$A$2:$A$1001,customers!$C$2:$C$1001,,0,1)=0,"",_xlfn.XLOOKUP(C885,customers!$A$2:$A$1001,customers!$C$2:$C$1001,,0,1))</f>
        <v>lagnolooj@pinterest.com</v>
      </c>
      <c r="H885" s="2" t="str">
        <f>_xlfn.XLOOKUP(C885, customers!$A$2:$A$1001, customers!$G$2:$G$1001, , 0, 1)</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t="str">
        <f>_xlfn.XLOOKUP(C886, customers!$A$2:$A$1001, customers!$B$2:$B$1001, , 0, 1)</f>
        <v>Delainey Kiddy</v>
      </c>
      <c r="G886" s="2" t="str">
        <f>IF(_xlfn.XLOOKUP(C886,customers!$A$2:$A$1001,customers!$C$2:$C$1001,,0,1)=0,"",_xlfn.XLOOKUP(C886,customers!$A$2:$A$1001,customers!$C$2:$C$1001,,0,1))</f>
        <v>dkiddyok@fda.gov</v>
      </c>
      <c r="H886" s="2" t="str">
        <f>_xlfn.XLOOKUP(C886, customers!$A$2:$A$1001, customers!$G$2:$G$1001, , 0, 1)</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t="str">
        <f>_xlfn.XLOOKUP(C887, customers!$A$2:$A$1001, customers!$B$2:$B$1001, , 0, 1)</f>
        <v>Helli Petroulis</v>
      </c>
      <c r="G887" s="2" t="str">
        <f>IF(_xlfn.XLOOKUP(C887,customers!$A$2:$A$1001,customers!$C$2:$C$1001,,0,1)=0,"",_xlfn.XLOOKUP(C887,customers!$A$2:$A$1001,customers!$C$2:$C$1001,,0,1))</f>
        <v>hpetroulisol@state.tx.us</v>
      </c>
      <c r="H887" s="2" t="str">
        <f>_xlfn.XLOOKUP(C887, customers!$A$2:$A$1001, customers!$G$2:$G$1001, , 0, 1)</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t="str">
        <f>_xlfn.XLOOKUP(C888, customers!$A$2:$A$1001, customers!$B$2:$B$1001, , 0, 1)</f>
        <v>Marty Scholl</v>
      </c>
      <c r="G888" s="2" t="str">
        <f>IF(_xlfn.XLOOKUP(C888,customers!$A$2:$A$1001,customers!$C$2:$C$1001,,0,1)=0,"",_xlfn.XLOOKUP(C888,customers!$A$2:$A$1001,customers!$C$2:$C$1001,,0,1))</f>
        <v>mschollom@taobao.com</v>
      </c>
      <c r="H888" s="2" t="str">
        <f>_xlfn.XLOOKUP(C888, customers!$A$2:$A$1001, customers!$G$2:$G$1001, , 0, 1)</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t="str">
        <f>_xlfn.XLOOKUP(C889, customers!$A$2:$A$1001, customers!$B$2:$B$1001, , 0, 1)</f>
        <v>Kienan Ferson</v>
      </c>
      <c r="G889" s="2" t="str">
        <f>IF(_xlfn.XLOOKUP(C889,customers!$A$2:$A$1001,customers!$C$2:$C$1001,,0,1)=0,"",_xlfn.XLOOKUP(C889,customers!$A$2:$A$1001,customers!$C$2:$C$1001,,0,1))</f>
        <v>kfersonon@g.co</v>
      </c>
      <c r="H889" s="2" t="str">
        <f>_xlfn.XLOOKUP(C889, customers!$A$2:$A$1001, customers!$G$2:$G$1001, , 0, 1)</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Large</v>
      </c>
      <c r="P889" t="str">
        <f>_xlfn.XLOOKUP(Orders[[#This Row],[Customer ID]],customers!$A$1:$A$1001,customers!$I$1:$I$1001,"",0)</f>
        <v>No</v>
      </c>
    </row>
    <row r="890" spans="1:16" x14ac:dyDescent="0.3">
      <c r="A890" s="2" t="s">
        <v>5513</v>
      </c>
      <c r="B890" s="3">
        <v>44292</v>
      </c>
      <c r="C890" s="2" t="s">
        <v>5514</v>
      </c>
      <c r="D890" t="s">
        <v>6167</v>
      </c>
      <c r="E890" s="2">
        <v>2</v>
      </c>
      <c r="F890" t="str">
        <f>_xlfn.XLOOKUP(C890, customers!$A$2:$A$1001, customers!$B$2:$B$1001, , 0, 1)</f>
        <v>Blake Kelloway</v>
      </c>
      <c r="G890" s="2" t="str">
        <f>IF(_xlfn.XLOOKUP(C890,customers!$A$2:$A$1001,customers!$C$2:$C$1001,,0,1)=0,"",_xlfn.XLOOKUP(C890,customers!$A$2:$A$1001,customers!$C$2:$C$1001,,0,1))</f>
        <v>bkellowayoo@omniture.com</v>
      </c>
      <c r="H890" s="2" t="str">
        <f>_xlfn.XLOOKUP(C890, customers!$A$2:$A$1001, customers!$G$2:$G$1001, , 0, 1)</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Large</v>
      </c>
      <c r="P890" t="str">
        <f>_xlfn.XLOOKUP(Orders[[#This Row],[Customer ID]],customers!$A$1:$A$1001,customers!$I$1:$I$1001,"",0)</f>
        <v>Yes</v>
      </c>
    </row>
    <row r="891" spans="1:16" x14ac:dyDescent="0.3">
      <c r="A891" s="2" t="s">
        <v>5519</v>
      </c>
      <c r="B891" s="3">
        <v>43633</v>
      </c>
      <c r="C891" s="2" t="s">
        <v>5520</v>
      </c>
      <c r="D891" t="s">
        <v>6163</v>
      </c>
      <c r="E891" s="2">
        <v>1</v>
      </c>
      <c r="F891" t="str">
        <f>_xlfn.XLOOKUP(C891, customers!$A$2:$A$1001, customers!$B$2:$B$1001, , 0, 1)</f>
        <v>Scarlett Oliffe</v>
      </c>
      <c r="G891" s="2" t="str">
        <f>IF(_xlfn.XLOOKUP(C891,customers!$A$2:$A$1001,customers!$C$2:$C$1001,,0,1)=0,"",_xlfn.XLOOKUP(C891,customers!$A$2:$A$1001,customers!$C$2:$C$1001,,0,1))</f>
        <v>soliffeop@yellowbook.com</v>
      </c>
      <c r="H891" s="2" t="str">
        <f>_xlfn.XLOOKUP(C891, customers!$A$2:$A$1001, customers!$G$2:$G$1001, , 0, 1)</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t="str">
        <f>_xlfn.XLOOKUP(C892, customers!$A$2:$A$1001, customers!$B$2:$B$1001, , 0, 1)</f>
        <v>Kippie Marrison</v>
      </c>
      <c r="G892" s="2" t="str">
        <f>IF(_xlfn.XLOOKUP(C892,customers!$A$2:$A$1001,customers!$C$2:$C$1001,,0,1)=0,"",_xlfn.XLOOKUP(C892,customers!$A$2:$A$1001,customers!$C$2:$C$1001,,0,1))</f>
        <v>kmarrisonoq@dropbox.com</v>
      </c>
      <c r="H892" s="2" t="str">
        <f>_xlfn.XLOOKUP(C892, customers!$A$2:$A$1001, customers!$G$2:$G$1001, , 0, 1)</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t="str">
        <f>_xlfn.XLOOKUP(C893, customers!$A$2:$A$1001, customers!$B$2:$B$1001, , 0, 1)</f>
        <v>Celestia Dolohunty</v>
      </c>
      <c r="G893" s="2" t="str">
        <f>IF(_xlfn.XLOOKUP(C893,customers!$A$2:$A$1001,customers!$C$2:$C$1001,,0,1)=0,"",_xlfn.XLOOKUP(C893,customers!$A$2:$A$1001,customers!$C$2:$C$1001,,0,1))</f>
        <v>cdolohuntyor@dailymail.co.uk</v>
      </c>
      <c r="H893" s="2" t="str">
        <f>_xlfn.XLOOKUP(C893, customers!$A$2:$A$1001, customers!$G$2:$G$1001, , 0, 1)</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t="str">
        <f>_xlfn.XLOOKUP(C894, customers!$A$2:$A$1001, customers!$B$2:$B$1001, , 0, 1)</f>
        <v>Patsy Vasilenko</v>
      </c>
      <c r="G894" s="2" t="str">
        <f>IF(_xlfn.XLOOKUP(C894,customers!$A$2:$A$1001,customers!$C$2:$C$1001,,0,1)=0,"",_xlfn.XLOOKUP(C894,customers!$A$2:$A$1001,customers!$C$2:$C$1001,,0,1))</f>
        <v>pvasilenkoos@addtoany.com</v>
      </c>
      <c r="H894" s="2" t="str">
        <f>_xlfn.XLOOKUP(C894, customers!$A$2:$A$1001, customers!$G$2:$G$1001, , 0, 1)</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t="str">
        <f>_xlfn.XLOOKUP(C895, customers!$A$2:$A$1001, customers!$B$2:$B$1001, , 0, 1)</f>
        <v>Raphaela Schankelborg</v>
      </c>
      <c r="G895" s="2" t="str">
        <f>IF(_xlfn.XLOOKUP(C895,customers!$A$2:$A$1001,customers!$C$2:$C$1001,,0,1)=0,"",_xlfn.XLOOKUP(C895,customers!$A$2:$A$1001,customers!$C$2:$C$1001,,0,1))</f>
        <v>rschankelborgot@ameblo.jp</v>
      </c>
      <c r="H895" s="2" t="str">
        <f>_xlfn.XLOOKUP(C895, customers!$A$2:$A$1001, customers!$G$2:$G$1001, , 0, 1)</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Large</v>
      </c>
      <c r="P895" t="str">
        <f>_xlfn.XLOOKUP(Orders[[#This Row],[Customer ID]],customers!$A$1:$A$1001,customers!$I$1:$I$1001,"",0)</f>
        <v>Yes</v>
      </c>
    </row>
    <row r="896" spans="1:16" x14ac:dyDescent="0.3">
      <c r="A896" s="2" t="s">
        <v>5548</v>
      </c>
      <c r="B896" s="3">
        <v>44016</v>
      </c>
      <c r="C896" s="2" t="s">
        <v>5549</v>
      </c>
      <c r="D896" t="s">
        <v>6149</v>
      </c>
      <c r="E896" s="2">
        <v>4</v>
      </c>
      <c r="F896" t="str">
        <f>_xlfn.XLOOKUP(C896, customers!$A$2:$A$1001, customers!$B$2:$B$1001, , 0, 1)</f>
        <v>Sharity Wickens</v>
      </c>
      <c r="G896" s="2" t="str">
        <f>IF(_xlfn.XLOOKUP(C896,customers!$A$2:$A$1001,customers!$C$2:$C$1001,,0,1)=0,"",_xlfn.XLOOKUP(C896,customers!$A$2:$A$1001,customers!$C$2:$C$1001,,0,1))</f>
        <v/>
      </c>
      <c r="H896" s="2" t="str">
        <f>_xlfn.XLOOKUP(C896, customers!$A$2:$A$1001, customers!$G$2:$G$1001, , 0, 1)</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t="str">
        <f>_xlfn.XLOOKUP(C897, customers!$A$2:$A$1001, customers!$B$2:$B$1001, , 0, 1)</f>
        <v>Derick Snow</v>
      </c>
      <c r="G897" s="2" t="str">
        <f>IF(_xlfn.XLOOKUP(C897,customers!$A$2:$A$1001,customers!$C$2:$C$1001,,0,1)=0,"",_xlfn.XLOOKUP(C897,customers!$A$2:$A$1001,customers!$C$2:$C$1001,,0,1))</f>
        <v/>
      </c>
      <c r="H897" s="2" t="str">
        <f>_xlfn.XLOOKUP(C897, customers!$A$2:$A$1001, customers!$G$2:$G$1001, , 0, 1)</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t="str">
        <f>_xlfn.XLOOKUP(C898, customers!$A$2:$A$1001, customers!$B$2:$B$1001, , 0, 1)</f>
        <v>Baxy Cargen</v>
      </c>
      <c r="G898" s="2" t="str">
        <f>IF(_xlfn.XLOOKUP(C898,customers!$A$2:$A$1001,customers!$C$2:$C$1001,,0,1)=0,"",_xlfn.XLOOKUP(C898,customers!$A$2:$A$1001,customers!$C$2:$C$1001,,0,1))</f>
        <v>bcargenow@geocities.jp</v>
      </c>
      <c r="H898" s="2" t="str">
        <f>_xlfn.XLOOKUP(C898, customers!$A$2:$A$1001, customers!$G$2:$G$1001, , 0, 1)</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t="str">
        <f>_xlfn.XLOOKUP(C899, customers!$A$2:$A$1001, customers!$B$2:$B$1001, , 0, 1)</f>
        <v>Ryann Stickler</v>
      </c>
      <c r="G899" s="2" t="str">
        <f>IF(_xlfn.XLOOKUP(C899,customers!$A$2:$A$1001,customers!$C$2:$C$1001,,0,1)=0,"",_xlfn.XLOOKUP(C899,customers!$A$2:$A$1001,customers!$C$2:$C$1001,,0,1))</f>
        <v>rsticklerox@printfriendly.com</v>
      </c>
      <c r="H899" s="2" t="str">
        <f>_xlfn.XLOOKUP(C899, customers!$A$2:$A$1001, customers!$G$2:$G$1001, , 0, 1)</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IF(J899="M","Medium",IF(J899="L","Large",IF(J899="D","Dark","")))</f>
        <v>Dark</v>
      </c>
      <c r="P899" t="str">
        <f>_xlfn.XLOOKUP(Orders[[#This Row],[Customer ID]],customers!$A$1:$A$1001,customers!$I$1:$I$1001,"",0)</f>
        <v>No</v>
      </c>
    </row>
    <row r="900" spans="1:16" x14ac:dyDescent="0.3">
      <c r="A900" s="2" t="s">
        <v>5570</v>
      </c>
      <c r="B900" s="3">
        <v>44089</v>
      </c>
      <c r="C900" s="2" t="s">
        <v>5571</v>
      </c>
      <c r="D900" t="s">
        <v>6173</v>
      </c>
      <c r="E900" s="2">
        <v>5</v>
      </c>
      <c r="F900" t="str">
        <f>_xlfn.XLOOKUP(C900, customers!$A$2:$A$1001, customers!$B$2:$B$1001, , 0, 1)</f>
        <v>Daryn Cassius</v>
      </c>
      <c r="G900" s="2" t="str">
        <f>IF(_xlfn.XLOOKUP(C900,customers!$A$2:$A$1001,customers!$C$2:$C$1001,,0,1)=0,"",_xlfn.XLOOKUP(C900,customers!$A$2:$A$1001,customers!$C$2:$C$1001,,0,1))</f>
        <v/>
      </c>
      <c r="H900" s="2" t="str">
        <f>_xlfn.XLOOKUP(C900, customers!$A$2:$A$1001, customers!$G$2:$G$1001, , 0, 1)</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Large</v>
      </c>
      <c r="P900" t="str">
        <f>_xlfn.XLOOKUP(Orders[[#This Row],[Customer ID]],customers!$A$1:$A$1001,customers!$I$1:$I$1001,"",0)</f>
        <v>No</v>
      </c>
    </row>
    <row r="901" spans="1:16" x14ac:dyDescent="0.3">
      <c r="A901" s="2" t="s">
        <v>5575</v>
      </c>
      <c r="B901" s="3">
        <v>44523</v>
      </c>
      <c r="C901" s="2" t="s">
        <v>5554</v>
      </c>
      <c r="D901" t="s">
        <v>6162</v>
      </c>
      <c r="E901" s="2">
        <v>5</v>
      </c>
      <c r="F901" t="str">
        <f>_xlfn.XLOOKUP(C901, customers!$A$2:$A$1001, customers!$B$2:$B$1001, , 0, 1)</f>
        <v>Derick Snow</v>
      </c>
      <c r="G901" s="2" t="str">
        <f>IF(_xlfn.XLOOKUP(C901,customers!$A$2:$A$1001,customers!$C$2:$C$1001,,0,1)=0,"",_xlfn.XLOOKUP(C901,customers!$A$2:$A$1001,customers!$C$2:$C$1001,,0,1))</f>
        <v/>
      </c>
      <c r="H901" s="2" t="str">
        <f>_xlfn.XLOOKUP(C901, customers!$A$2:$A$1001, customers!$G$2:$G$1001, , 0, 1)</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t="str">
        <f>_xlfn.XLOOKUP(C902, customers!$A$2:$A$1001, customers!$B$2:$B$1001, , 0, 1)</f>
        <v>Skelly Dolohunty</v>
      </c>
      <c r="G902" s="2" t="str">
        <f>IF(_xlfn.XLOOKUP(C902,customers!$A$2:$A$1001,customers!$C$2:$C$1001,,0,1)=0,"",_xlfn.XLOOKUP(C902,customers!$A$2:$A$1001,customers!$C$2:$C$1001,,0,1))</f>
        <v/>
      </c>
      <c r="H902" s="2" t="str">
        <f>_xlfn.XLOOKUP(C902, customers!$A$2:$A$1001, customers!$G$2:$G$1001, , 0, 1)</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Large</v>
      </c>
      <c r="P902" t="str">
        <f>_xlfn.XLOOKUP(Orders[[#This Row],[Customer ID]],customers!$A$1:$A$1001,customers!$I$1:$I$1001,"",0)</f>
        <v>No</v>
      </c>
    </row>
    <row r="903" spans="1:16" x14ac:dyDescent="0.3">
      <c r="A903" s="2" t="s">
        <v>5585</v>
      </c>
      <c r="B903" s="3">
        <v>44223</v>
      </c>
      <c r="C903" s="2" t="s">
        <v>5586</v>
      </c>
      <c r="D903" t="s">
        <v>6178</v>
      </c>
      <c r="E903" s="2">
        <v>1</v>
      </c>
      <c r="F903" t="str">
        <f>_xlfn.XLOOKUP(C903, customers!$A$2:$A$1001, customers!$B$2:$B$1001, , 0, 1)</f>
        <v>Drake Jevon</v>
      </c>
      <c r="G903" s="2" t="str">
        <f>IF(_xlfn.XLOOKUP(C903,customers!$A$2:$A$1001,customers!$C$2:$C$1001,,0,1)=0,"",_xlfn.XLOOKUP(C903,customers!$A$2:$A$1001,customers!$C$2:$C$1001,,0,1))</f>
        <v>djevonp1@ibm.com</v>
      </c>
      <c r="H903" s="2" t="str">
        <f>_xlfn.XLOOKUP(C903, customers!$A$2:$A$1001, customers!$G$2:$G$1001, , 0, 1)</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Large</v>
      </c>
      <c r="P903" t="str">
        <f>_xlfn.XLOOKUP(Orders[[#This Row],[Customer ID]],customers!$A$1:$A$1001,customers!$I$1:$I$1001,"",0)</f>
        <v>Yes</v>
      </c>
    </row>
    <row r="904" spans="1:16" x14ac:dyDescent="0.3">
      <c r="A904" s="2" t="s">
        <v>5591</v>
      </c>
      <c r="B904" s="3">
        <v>43640</v>
      </c>
      <c r="C904" s="2" t="s">
        <v>5592</v>
      </c>
      <c r="D904" t="s">
        <v>6166</v>
      </c>
      <c r="E904" s="2">
        <v>5</v>
      </c>
      <c r="F904" t="str">
        <f>_xlfn.XLOOKUP(C904, customers!$A$2:$A$1001, customers!$B$2:$B$1001, , 0, 1)</f>
        <v>Hall Ranner</v>
      </c>
      <c r="G904" s="2" t="str">
        <f>IF(_xlfn.XLOOKUP(C904,customers!$A$2:$A$1001,customers!$C$2:$C$1001,,0,1)=0,"",_xlfn.XLOOKUP(C904,customers!$A$2:$A$1001,customers!$C$2:$C$1001,,0,1))</f>
        <v>hrannerp2@omniture.com</v>
      </c>
      <c r="H904" s="2" t="str">
        <f>_xlfn.XLOOKUP(C904, customers!$A$2:$A$1001, customers!$G$2:$G$1001, , 0, 1)</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t="str">
        <f>_xlfn.XLOOKUP(C905, customers!$A$2:$A$1001, customers!$B$2:$B$1001, , 0, 1)</f>
        <v>Berkly Imrie</v>
      </c>
      <c r="G905" s="2" t="str">
        <f>IF(_xlfn.XLOOKUP(C905,customers!$A$2:$A$1001,customers!$C$2:$C$1001,,0,1)=0,"",_xlfn.XLOOKUP(C905,customers!$A$2:$A$1001,customers!$C$2:$C$1001,,0,1))</f>
        <v>bimriep3@addtoany.com</v>
      </c>
      <c r="H905" s="2" t="str">
        <f>_xlfn.XLOOKUP(C905, customers!$A$2:$A$1001, customers!$G$2:$G$1001, , 0, 1)</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t="str">
        <f>_xlfn.XLOOKUP(C906, customers!$A$2:$A$1001, customers!$B$2:$B$1001, , 0, 1)</f>
        <v>Dorey Sopper</v>
      </c>
      <c r="G906" s="2" t="str">
        <f>IF(_xlfn.XLOOKUP(C906,customers!$A$2:$A$1001,customers!$C$2:$C$1001,,0,1)=0,"",_xlfn.XLOOKUP(C906,customers!$A$2:$A$1001,customers!$C$2:$C$1001,,0,1))</f>
        <v>dsopperp4@eventbrite.com</v>
      </c>
      <c r="H906" s="2" t="str">
        <f>_xlfn.XLOOKUP(C906, customers!$A$2:$A$1001, customers!$G$2:$G$1001, , 0, 1)</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Large</v>
      </c>
      <c r="P906" t="str">
        <f>_xlfn.XLOOKUP(Orders[[#This Row],[Customer ID]],customers!$A$1:$A$1001,customers!$I$1:$I$1001,"",0)</f>
        <v>No</v>
      </c>
    </row>
    <row r="907" spans="1:16" x14ac:dyDescent="0.3">
      <c r="A907" s="2" t="s">
        <v>5609</v>
      </c>
      <c r="B907" s="3">
        <v>43560</v>
      </c>
      <c r="C907" s="2" t="s">
        <v>5610</v>
      </c>
      <c r="D907" t="s">
        <v>6157</v>
      </c>
      <c r="E907" s="2">
        <v>6</v>
      </c>
      <c r="F907" t="str">
        <f>_xlfn.XLOOKUP(C907, customers!$A$2:$A$1001, customers!$B$2:$B$1001, , 0, 1)</f>
        <v>Darcy Lochran</v>
      </c>
      <c r="G907" s="2" t="str">
        <f>IF(_xlfn.XLOOKUP(C907,customers!$A$2:$A$1001,customers!$C$2:$C$1001,,0,1)=0,"",_xlfn.XLOOKUP(C907,customers!$A$2:$A$1001,customers!$C$2:$C$1001,,0,1))</f>
        <v/>
      </c>
      <c r="H907" s="2" t="str">
        <f>_xlfn.XLOOKUP(C907, customers!$A$2:$A$1001, customers!$G$2:$G$1001, , 0, 1)</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t="str">
        <f>_xlfn.XLOOKUP(C908, customers!$A$2:$A$1001, customers!$B$2:$B$1001, , 0, 1)</f>
        <v>Lauritz Ledgley</v>
      </c>
      <c r="G908" s="2" t="str">
        <f>IF(_xlfn.XLOOKUP(C908,customers!$A$2:$A$1001,customers!$C$2:$C$1001,,0,1)=0,"",_xlfn.XLOOKUP(C908,customers!$A$2:$A$1001,customers!$C$2:$C$1001,,0,1))</f>
        <v>lledgleyp6@de.vu</v>
      </c>
      <c r="H908" s="2" t="str">
        <f>_xlfn.XLOOKUP(C908, customers!$A$2:$A$1001, customers!$G$2:$G$1001, , 0, 1)</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t="str">
        <f>_xlfn.XLOOKUP(C909, customers!$A$2:$A$1001, customers!$B$2:$B$1001, , 0, 1)</f>
        <v>Tawnya Menary</v>
      </c>
      <c r="G909" s="2" t="str">
        <f>IF(_xlfn.XLOOKUP(C909,customers!$A$2:$A$1001,customers!$C$2:$C$1001,,0,1)=0,"",_xlfn.XLOOKUP(C909,customers!$A$2:$A$1001,customers!$C$2:$C$1001,,0,1))</f>
        <v>tmenaryp7@phoca.cz</v>
      </c>
      <c r="H909" s="2" t="str">
        <f>_xlfn.XLOOKUP(C909, customers!$A$2:$A$1001, customers!$G$2:$G$1001, , 0, 1)</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t="str">
        <f>_xlfn.XLOOKUP(C910, customers!$A$2:$A$1001, customers!$B$2:$B$1001, , 0, 1)</f>
        <v>Gustaf Ciccotti</v>
      </c>
      <c r="G910" s="2" t="str">
        <f>IF(_xlfn.XLOOKUP(C910,customers!$A$2:$A$1001,customers!$C$2:$C$1001,,0,1)=0,"",_xlfn.XLOOKUP(C910,customers!$A$2:$A$1001,customers!$C$2:$C$1001,,0,1))</f>
        <v>gciccottip8@so-net.ne.jp</v>
      </c>
      <c r="H910" s="2" t="str">
        <f>_xlfn.XLOOKUP(C910, customers!$A$2:$A$1001, customers!$G$2:$G$1001, , 0, 1)</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Large</v>
      </c>
      <c r="P910" t="str">
        <f>_xlfn.XLOOKUP(Orders[[#This Row],[Customer ID]],customers!$A$1:$A$1001,customers!$I$1:$I$1001,"",0)</f>
        <v>No</v>
      </c>
    </row>
    <row r="911" spans="1:16" x14ac:dyDescent="0.3">
      <c r="A911" s="2" t="s">
        <v>5632</v>
      </c>
      <c r="B911" s="3">
        <v>44635</v>
      </c>
      <c r="C911" s="2" t="s">
        <v>5633</v>
      </c>
      <c r="D911" t="s">
        <v>6178</v>
      </c>
      <c r="E911" s="2">
        <v>3</v>
      </c>
      <c r="F911" t="str">
        <f>_xlfn.XLOOKUP(C911, customers!$A$2:$A$1001, customers!$B$2:$B$1001, , 0, 1)</f>
        <v>Bobbe Renner</v>
      </c>
      <c r="G911" s="2" t="str">
        <f>IF(_xlfn.XLOOKUP(C911,customers!$A$2:$A$1001,customers!$C$2:$C$1001,,0,1)=0,"",_xlfn.XLOOKUP(C911,customers!$A$2:$A$1001,customers!$C$2:$C$1001,,0,1))</f>
        <v/>
      </c>
      <c r="H911" s="2" t="str">
        <f>_xlfn.XLOOKUP(C911, customers!$A$2:$A$1001, customers!$G$2:$G$1001, , 0, 1)</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Large</v>
      </c>
      <c r="P911" t="str">
        <f>_xlfn.XLOOKUP(Orders[[#This Row],[Customer ID]],customers!$A$1:$A$1001,customers!$I$1:$I$1001,"",0)</f>
        <v>No</v>
      </c>
    </row>
    <row r="912" spans="1:16" x14ac:dyDescent="0.3">
      <c r="A912" s="2" t="s">
        <v>5637</v>
      </c>
      <c r="B912" s="3">
        <v>44447</v>
      </c>
      <c r="C912" s="2" t="s">
        <v>5638</v>
      </c>
      <c r="D912" t="s">
        <v>6168</v>
      </c>
      <c r="E912" s="2">
        <v>4</v>
      </c>
      <c r="F912" t="str">
        <f>_xlfn.XLOOKUP(C912, customers!$A$2:$A$1001, customers!$B$2:$B$1001, , 0, 1)</f>
        <v>Wilton Jallin</v>
      </c>
      <c r="G912" s="2" t="str">
        <f>IF(_xlfn.XLOOKUP(C912,customers!$A$2:$A$1001,customers!$C$2:$C$1001,,0,1)=0,"",_xlfn.XLOOKUP(C912,customers!$A$2:$A$1001,customers!$C$2:$C$1001,,0,1))</f>
        <v>wjallinpa@pcworld.com</v>
      </c>
      <c r="H912" s="2" t="str">
        <f>_xlfn.XLOOKUP(C912, customers!$A$2:$A$1001, customers!$G$2:$G$1001, , 0, 1)</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t="str">
        <f>_xlfn.XLOOKUP(C913, customers!$A$2:$A$1001, customers!$B$2:$B$1001, , 0, 1)</f>
        <v>Mindy Bogey</v>
      </c>
      <c r="G913" s="2" t="str">
        <f>IF(_xlfn.XLOOKUP(C913,customers!$A$2:$A$1001,customers!$C$2:$C$1001,,0,1)=0,"",_xlfn.XLOOKUP(C913,customers!$A$2:$A$1001,customers!$C$2:$C$1001,,0,1))</f>
        <v>mbogeypb@thetimes.co.uk</v>
      </c>
      <c r="H913" s="2" t="str">
        <f>_xlfn.XLOOKUP(C913, customers!$A$2:$A$1001, customers!$G$2:$G$1001, , 0, 1)</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t="str">
        <f>_xlfn.XLOOKUP(C914, customers!$A$2:$A$1001, customers!$B$2:$B$1001, , 0, 1)</f>
        <v>Paulie Fonzone</v>
      </c>
      <c r="G914" s="2" t="str">
        <f>IF(_xlfn.XLOOKUP(C914,customers!$A$2:$A$1001,customers!$C$2:$C$1001,,0,1)=0,"",_xlfn.XLOOKUP(C914,customers!$A$2:$A$1001,customers!$C$2:$C$1001,,0,1))</f>
        <v/>
      </c>
      <c r="H914" s="2" t="str">
        <f>_xlfn.XLOOKUP(C914, customers!$A$2:$A$1001, customers!$G$2:$G$1001, , 0, 1)</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t="str">
        <f>_xlfn.XLOOKUP(C915, customers!$A$2:$A$1001, customers!$B$2:$B$1001, , 0, 1)</f>
        <v>Merrile Cobbledick</v>
      </c>
      <c r="G915" s="2" t="str">
        <f>IF(_xlfn.XLOOKUP(C915,customers!$A$2:$A$1001,customers!$C$2:$C$1001,,0,1)=0,"",_xlfn.XLOOKUP(C915,customers!$A$2:$A$1001,customers!$C$2:$C$1001,,0,1))</f>
        <v>mcobbledickpd@ucsd.edu</v>
      </c>
      <c r="H915" s="2" t="str">
        <f>_xlfn.XLOOKUP(C915, customers!$A$2:$A$1001, customers!$G$2:$G$1001, , 0, 1)</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t="str">
        <f>_xlfn.XLOOKUP(C916, customers!$A$2:$A$1001, customers!$B$2:$B$1001, , 0, 1)</f>
        <v>Antonius Lewry</v>
      </c>
      <c r="G916" s="2" t="str">
        <f>IF(_xlfn.XLOOKUP(C916,customers!$A$2:$A$1001,customers!$C$2:$C$1001,,0,1)=0,"",_xlfn.XLOOKUP(C916,customers!$A$2:$A$1001,customers!$C$2:$C$1001,,0,1))</f>
        <v>alewrype@whitehouse.gov</v>
      </c>
      <c r="H916" s="2" t="str">
        <f>_xlfn.XLOOKUP(C916, customers!$A$2:$A$1001, customers!$G$2:$G$1001, , 0, 1)</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t="str">
        <f>_xlfn.XLOOKUP(C917, customers!$A$2:$A$1001, customers!$B$2:$B$1001, , 0, 1)</f>
        <v>Isis Hessel</v>
      </c>
      <c r="G917" s="2" t="str">
        <f>IF(_xlfn.XLOOKUP(C917,customers!$A$2:$A$1001,customers!$C$2:$C$1001,,0,1)=0,"",_xlfn.XLOOKUP(C917,customers!$A$2:$A$1001,customers!$C$2:$C$1001,,0,1))</f>
        <v>ihesselpf@ox.ac.uk</v>
      </c>
      <c r="H917" s="2" t="str">
        <f>_xlfn.XLOOKUP(C917, customers!$A$2:$A$1001, customers!$G$2:$G$1001, , 0, 1)</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t="str">
        <f>_xlfn.XLOOKUP(C918, customers!$A$2:$A$1001, customers!$B$2:$B$1001, , 0, 1)</f>
        <v>Harland Trematick</v>
      </c>
      <c r="G918" s="2" t="str">
        <f>IF(_xlfn.XLOOKUP(C918,customers!$A$2:$A$1001,customers!$C$2:$C$1001,,0,1)=0,"",_xlfn.XLOOKUP(C918,customers!$A$2:$A$1001,customers!$C$2:$C$1001,,0,1))</f>
        <v/>
      </c>
      <c r="H918" s="2" t="str">
        <f>_xlfn.XLOOKUP(C918, customers!$A$2:$A$1001, customers!$G$2:$G$1001, , 0, 1)</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t="str">
        <f>_xlfn.XLOOKUP(C919, customers!$A$2:$A$1001, customers!$B$2:$B$1001, , 0, 1)</f>
        <v>Chloris Sorrell</v>
      </c>
      <c r="G919" s="2" t="str">
        <f>IF(_xlfn.XLOOKUP(C919,customers!$A$2:$A$1001,customers!$C$2:$C$1001,,0,1)=0,"",_xlfn.XLOOKUP(C919,customers!$A$2:$A$1001,customers!$C$2:$C$1001,,0,1))</f>
        <v>csorrellph@amazon.com</v>
      </c>
      <c r="H919" s="2" t="str">
        <f>_xlfn.XLOOKUP(C919, customers!$A$2:$A$1001, customers!$G$2:$G$1001, , 0, 1)</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t="str">
        <f>_xlfn.XLOOKUP(C920, customers!$A$2:$A$1001, customers!$B$2:$B$1001, , 0, 1)</f>
        <v>Chloris Sorrell</v>
      </c>
      <c r="G920" s="2" t="str">
        <f>IF(_xlfn.XLOOKUP(C920,customers!$A$2:$A$1001,customers!$C$2:$C$1001,,0,1)=0,"",_xlfn.XLOOKUP(C920,customers!$A$2:$A$1001,customers!$C$2:$C$1001,,0,1))</f>
        <v>csorrellph@amazon.com</v>
      </c>
      <c r="H920" s="2" t="str">
        <f>_xlfn.XLOOKUP(C920, customers!$A$2:$A$1001, customers!$G$2:$G$1001, , 0, 1)</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t="str">
        <f>_xlfn.XLOOKUP(C921, customers!$A$2:$A$1001, customers!$B$2:$B$1001, , 0, 1)</f>
        <v>Quintina Heavyside</v>
      </c>
      <c r="G921" s="2" t="str">
        <f>IF(_xlfn.XLOOKUP(C921,customers!$A$2:$A$1001,customers!$C$2:$C$1001,,0,1)=0,"",_xlfn.XLOOKUP(C921,customers!$A$2:$A$1001,customers!$C$2:$C$1001,,0,1))</f>
        <v>qheavysidepj@unc.edu</v>
      </c>
      <c r="H921" s="2" t="str">
        <f>_xlfn.XLOOKUP(C921, customers!$A$2:$A$1001, customers!$G$2:$G$1001, , 0, 1)</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t="str">
        <f>_xlfn.XLOOKUP(C922, customers!$A$2:$A$1001, customers!$B$2:$B$1001, , 0, 1)</f>
        <v>Hadley Reuven</v>
      </c>
      <c r="G922" s="2" t="str">
        <f>IF(_xlfn.XLOOKUP(C922,customers!$A$2:$A$1001,customers!$C$2:$C$1001,,0,1)=0,"",_xlfn.XLOOKUP(C922,customers!$A$2:$A$1001,customers!$C$2:$C$1001,,0,1))</f>
        <v>hreuvenpk@whitehouse.gov</v>
      </c>
      <c r="H922" s="2" t="str">
        <f>_xlfn.XLOOKUP(C922, customers!$A$2:$A$1001, customers!$G$2:$G$1001, , 0, 1)</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t="str">
        <f>_xlfn.XLOOKUP(C923, customers!$A$2:$A$1001, customers!$B$2:$B$1001, , 0, 1)</f>
        <v>Mitch Attwool</v>
      </c>
      <c r="G923" s="2" t="str">
        <f>IF(_xlfn.XLOOKUP(C923,customers!$A$2:$A$1001,customers!$C$2:$C$1001,,0,1)=0,"",_xlfn.XLOOKUP(C923,customers!$A$2:$A$1001,customers!$C$2:$C$1001,,0,1))</f>
        <v>mattwoolpl@nba.com</v>
      </c>
      <c r="H923" s="2" t="str">
        <f>_xlfn.XLOOKUP(C923, customers!$A$2:$A$1001, customers!$G$2:$G$1001, , 0, 1)</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t="str">
        <f>_xlfn.XLOOKUP(C924, customers!$A$2:$A$1001, customers!$B$2:$B$1001, , 0, 1)</f>
        <v>Charin Maplethorp</v>
      </c>
      <c r="G924" s="2" t="str">
        <f>IF(_xlfn.XLOOKUP(C924,customers!$A$2:$A$1001,customers!$C$2:$C$1001,,0,1)=0,"",_xlfn.XLOOKUP(C924,customers!$A$2:$A$1001,customers!$C$2:$C$1001,,0,1))</f>
        <v/>
      </c>
      <c r="H924" s="2" t="str">
        <f>_xlfn.XLOOKUP(C924, customers!$A$2:$A$1001, customers!$G$2:$G$1001, , 0, 1)</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t="str">
        <f>_xlfn.XLOOKUP(C925, customers!$A$2:$A$1001, customers!$B$2:$B$1001, , 0, 1)</f>
        <v>Goldie Wynes</v>
      </c>
      <c r="G925" s="2" t="str">
        <f>IF(_xlfn.XLOOKUP(C925,customers!$A$2:$A$1001,customers!$C$2:$C$1001,,0,1)=0,"",_xlfn.XLOOKUP(C925,customers!$A$2:$A$1001,customers!$C$2:$C$1001,,0,1))</f>
        <v>gwynespn@dagondesign.com</v>
      </c>
      <c r="H925" s="2" t="str">
        <f>_xlfn.XLOOKUP(C925, customers!$A$2:$A$1001, customers!$G$2:$G$1001, , 0, 1)</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t="str">
        <f>_xlfn.XLOOKUP(C926, customers!$A$2:$A$1001, customers!$B$2:$B$1001, , 0, 1)</f>
        <v>Celie MacCourt</v>
      </c>
      <c r="G926" s="2" t="str">
        <f>IF(_xlfn.XLOOKUP(C926,customers!$A$2:$A$1001,customers!$C$2:$C$1001,,0,1)=0,"",_xlfn.XLOOKUP(C926,customers!$A$2:$A$1001,customers!$C$2:$C$1001,,0,1))</f>
        <v>cmaccourtpo@amazon.com</v>
      </c>
      <c r="H926" s="2" t="str">
        <f>_xlfn.XLOOKUP(C926, customers!$A$2:$A$1001, customers!$G$2:$G$1001, , 0, 1)</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Large</v>
      </c>
      <c r="P926" t="str">
        <f>_xlfn.XLOOKUP(Orders[[#This Row],[Customer ID]],customers!$A$1:$A$1001,customers!$I$1:$I$1001,"",0)</f>
        <v>No</v>
      </c>
    </row>
    <row r="927" spans="1:16" x14ac:dyDescent="0.3">
      <c r="A927" s="2" t="s">
        <v>5720</v>
      </c>
      <c r="B927" s="3">
        <v>44770</v>
      </c>
      <c r="C927" s="2" t="s">
        <v>5554</v>
      </c>
      <c r="D927" t="s">
        <v>6157</v>
      </c>
      <c r="E927" s="2">
        <v>3</v>
      </c>
      <c r="F927" t="str">
        <f>_xlfn.XLOOKUP(C927, customers!$A$2:$A$1001, customers!$B$2:$B$1001, , 0, 1)</f>
        <v>Derick Snow</v>
      </c>
      <c r="G927" s="2" t="str">
        <f>IF(_xlfn.XLOOKUP(C927,customers!$A$2:$A$1001,customers!$C$2:$C$1001,,0,1)=0,"",_xlfn.XLOOKUP(C927,customers!$A$2:$A$1001,customers!$C$2:$C$1001,,0,1))</f>
        <v/>
      </c>
      <c r="H927" s="2" t="str">
        <f>_xlfn.XLOOKUP(C927, customers!$A$2:$A$1001, customers!$G$2:$G$1001, , 0, 1)</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t="str">
        <f>_xlfn.XLOOKUP(C928, customers!$A$2:$A$1001, customers!$B$2:$B$1001, , 0, 1)</f>
        <v>Evy Wilsone</v>
      </c>
      <c r="G928" s="2" t="str">
        <f>IF(_xlfn.XLOOKUP(C928,customers!$A$2:$A$1001,customers!$C$2:$C$1001,,0,1)=0,"",_xlfn.XLOOKUP(C928,customers!$A$2:$A$1001,customers!$C$2:$C$1001,,0,1))</f>
        <v>ewilsonepq@eepurl.com</v>
      </c>
      <c r="H928" s="2" t="str">
        <f>_xlfn.XLOOKUP(C928, customers!$A$2:$A$1001, customers!$G$2:$G$1001, , 0, 1)</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t="str">
        <f>_xlfn.XLOOKUP(C929, customers!$A$2:$A$1001, customers!$B$2:$B$1001, , 0, 1)</f>
        <v>Dolores Duffie</v>
      </c>
      <c r="G929" s="2" t="str">
        <f>IF(_xlfn.XLOOKUP(C929,customers!$A$2:$A$1001,customers!$C$2:$C$1001,,0,1)=0,"",_xlfn.XLOOKUP(C929,customers!$A$2:$A$1001,customers!$C$2:$C$1001,,0,1))</f>
        <v>dduffiepr@time.com</v>
      </c>
      <c r="H929" s="2" t="str">
        <f>_xlfn.XLOOKUP(C929, customers!$A$2:$A$1001, customers!$G$2:$G$1001, , 0, 1)</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t="str">
        <f>_xlfn.XLOOKUP(C930, customers!$A$2:$A$1001, customers!$B$2:$B$1001, , 0, 1)</f>
        <v>Mathilda Matiasek</v>
      </c>
      <c r="G930" s="2" t="str">
        <f>IF(_xlfn.XLOOKUP(C930,customers!$A$2:$A$1001,customers!$C$2:$C$1001,,0,1)=0,"",_xlfn.XLOOKUP(C930,customers!$A$2:$A$1001,customers!$C$2:$C$1001,,0,1))</f>
        <v>mmatiasekps@ucoz.ru</v>
      </c>
      <c r="H930" s="2" t="str">
        <f>_xlfn.XLOOKUP(C930, customers!$A$2:$A$1001, customers!$G$2:$G$1001, , 0, 1)</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t="str">
        <f>_xlfn.XLOOKUP(C931, customers!$A$2:$A$1001, customers!$B$2:$B$1001, , 0, 1)</f>
        <v>Jarred Camillo</v>
      </c>
      <c r="G931" s="2" t="str">
        <f>IF(_xlfn.XLOOKUP(C931,customers!$A$2:$A$1001,customers!$C$2:$C$1001,,0,1)=0,"",_xlfn.XLOOKUP(C931,customers!$A$2:$A$1001,customers!$C$2:$C$1001,,0,1))</f>
        <v>jcamillopt@shinystat.com</v>
      </c>
      <c r="H931" s="2" t="str">
        <f>_xlfn.XLOOKUP(C931, customers!$A$2:$A$1001, customers!$G$2:$G$1001, , 0, 1)</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Large</v>
      </c>
      <c r="P931" t="str">
        <f>_xlfn.XLOOKUP(Orders[[#This Row],[Customer ID]],customers!$A$1:$A$1001,customers!$I$1:$I$1001,"",0)</f>
        <v>Yes</v>
      </c>
    </row>
    <row r="932" spans="1:16" x14ac:dyDescent="0.3">
      <c r="A932" s="2" t="s">
        <v>5748</v>
      </c>
      <c r="B932" s="3">
        <v>43546</v>
      </c>
      <c r="C932" s="2" t="s">
        <v>5749</v>
      </c>
      <c r="D932" t="s">
        <v>6183</v>
      </c>
      <c r="E932" s="2">
        <v>1</v>
      </c>
      <c r="F932" t="str">
        <f>_xlfn.XLOOKUP(C932, customers!$A$2:$A$1001, customers!$B$2:$B$1001, , 0, 1)</f>
        <v>Kameko Philbrick</v>
      </c>
      <c r="G932" s="2" t="str">
        <f>IF(_xlfn.XLOOKUP(C932,customers!$A$2:$A$1001,customers!$C$2:$C$1001,,0,1)=0,"",_xlfn.XLOOKUP(C932,customers!$A$2:$A$1001,customers!$C$2:$C$1001,,0,1))</f>
        <v>kphilbrickpu@cdc.gov</v>
      </c>
      <c r="H932" s="2" t="str">
        <f>_xlfn.XLOOKUP(C932, customers!$A$2:$A$1001, customers!$G$2:$G$1001, , 0, 1)</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t="str">
        <f>_xlfn.XLOOKUP(C933, customers!$A$2:$A$1001, customers!$B$2:$B$1001, , 0, 1)</f>
        <v>Mallory Shrimpling</v>
      </c>
      <c r="G933" s="2" t="str">
        <f>IF(_xlfn.XLOOKUP(C933,customers!$A$2:$A$1001,customers!$C$2:$C$1001,,0,1)=0,"",_xlfn.XLOOKUP(C933,customers!$A$2:$A$1001,customers!$C$2:$C$1001,,0,1))</f>
        <v/>
      </c>
      <c r="H933" s="2" t="str">
        <f>_xlfn.XLOOKUP(C933, customers!$A$2:$A$1001, customers!$G$2:$G$1001, , 0, 1)</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t="str">
        <f>_xlfn.XLOOKUP(C934, customers!$A$2:$A$1001, customers!$B$2:$B$1001, , 0, 1)</f>
        <v>Barnett Sillis</v>
      </c>
      <c r="G934" s="2" t="str">
        <f>IF(_xlfn.XLOOKUP(C934,customers!$A$2:$A$1001,customers!$C$2:$C$1001,,0,1)=0,"",_xlfn.XLOOKUP(C934,customers!$A$2:$A$1001,customers!$C$2:$C$1001,,0,1))</f>
        <v>bsillispw@istockphoto.com</v>
      </c>
      <c r="H934" s="2" t="str">
        <f>_xlfn.XLOOKUP(C934, customers!$A$2:$A$1001, customers!$G$2:$G$1001, , 0, 1)</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t="str">
        <f>_xlfn.XLOOKUP(C935, customers!$A$2:$A$1001, customers!$B$2:$B$1001, , 0, 1)</f>
        <v>Brenn Dundredge</v>
      </c>
      <c r="G935" s="2" t="str">
        <f>IF(_xlfn.XLOOKUP(C935,customers!$A$2:$A$1001,customers!$C$2:$C$1001,,0,1)=0,"",_xlfn.XLOOKUP(C935,customers!$A$2:$A$1001,customers!$C$2:$C$1001,,0,1))</f>
        <v/>
      </c>
      <c r="H935" s="2" t="str">
        <f>_xlfn.XLOOKUP(C935, customers!$A$2:$A$1001, customers!$G$2:$G$1001, , 0, 1)</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t="str">
        <f>_xlfn.XLOOKUP(C936, customers!$A$2:$A$1001, customers!$B$2:$B$1001, , 0, 1)</f>
        <v>Read Cutts</v>
      </c>
      <c r="G936" s="2" t="str">
        <f>IF(_xlfn.XLOOKUP(C936,customers!$A$2:$A$1001,customers!$C$2:$C$1001,,0,1)=0,"",_xlfn.XLOOKUP(C936,customers!$A$2:$A$1001,customers!$C$2:$C$1001,,0,1))</f>
        <v>rcuttspy@techcrunch.com</v>
      </c>
      <c r="H936" s="2" t="str">
        <f>_xlfn.XLOOKUP(C936, customers!$A$2:$A$1001, customers!$G$2:$G$1001, , 0, 1)</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t="str">
        <f>_xlfn.XLOOKUP(C937, customers!$A$2:$A$1001, customers!$B$2:$B$1001, , 0, 1)</f>
        <v>Michale Delves</v>
      </c>
      <c r="G937" s="2" t="str">
        <f>IF(_xlfn.XLOOKUP(C937,customers!$A$2:$A$1001,customers!$C$2:$C$1001,,0,1)=0,"",_xlfn.XLOOKUP(C937,customers!$A$2:$A$1001,customers!$C$2:$C$1001,,0,1))</f>
        <v>mdelvespz@nature.com</v>
      </c>
      <c r="H937" s="2" t="str">
        <f>_xlfn.XLOOKUP(C937, customers!$A$2:$A$1001, customers!$G$2:$G$1001, , 0, 1)</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t="str">
        <f>_xlfn.XLOOKUP(C938, customers!$A$2:$A$1001, customers!$B$2:$B$1001, , 0, 1)</f>
        <v>Devland Gritton</v>
      </c>
      <c r="G938" s="2" t="str">
        <f>IF(_xlfn.XLOOKUP(C938,customers!$A$2:$A$1001,customers!$C$2:$C$1001,,0,1)=0,"",_xlfn.XLOOKUP(C938,customers!$A$2:$A$1001,customers!$C$2:$C$1001,,0,1))</f>
        <v>dgrittonq0@nydailynews.com</v>
      </c>
      <c r="H938" s="2" t="str">
        <f>_xlfn.XLOOKUP(C938, customers!$A$2:$A$1001, customers!$G$2:$G$1001, , 0, 1)</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t="str">
        <f>_xlfn.XLOOKUP(C939, customers!$A$2:$A$1001, customers!$B$2:$B$1001, , 0, 1)</f>
        <v>Devland Gritton</v>
      </c>
      <c r="G939" s="2" t="str">
        <f>IF(_xlfn.XLOOKUP(C939,customers!$A$2:$A$1001,customers!$C$2:$C$1001,,0,1)=0,"",_xlfn.XLOOKUP(C939,customers!$A$2:$A$1001,customers!$C$2:$C$1001,,0,1))</f>
        <v>dgrittonq0@nydailynews.com</v>
      </c>
      <c r="H939" s="2" t="str">
        <f>_xlfn.XLOOKUP(C939, customers!$A$2:$A$1001, customers!$G$2:$G$1001, , 0, 1)</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t="str">
        <f>_xlfn.XLOOKUP(C940, customers!$A$2:$A$1001, customers!$B$2:$B$1001, , 0, 1)</f>
        <v>Dell Gut</v>
      </c>
      <c r="G940" s="2" t="str">
        <f>IF(_xlfn.XLOOKUP(C940,customers!$A$2:$A$1001,customers!$C$2:$C$1001,,0,1)=0,"",_xlfn.XLOOKUP(C940,customers!$A$2:$A$1001,customers!$C$2:$C$1001,,0,1))</f>
        <v>dgutq2@umich.edu</v>
      </c>
      <c r="H940" s="2" t="str">
        <f>_xlfn.XLOOKUP(C940, customers!$A$2:$A$1001, customers!$G$2:$G$1001, , 0, 1)</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Large</v>
      </c>
      <c r="P940" t="str">
        <f>_xlfn.XLOOKUP(Orders[[#This Row],[Customer ID]],customers!$A$1:$A$1001,customers!$I$1:$I$1001,"",0)</f>
        <v>Yes</v>
      </c>
    </row>
    <row r="941" spans="1:16" x14ac:dyDescent="0.3">
      <c r="A941" s="2" t="s">
        <v>5797</v>
      </c>
      <c r="B941" s="3">
        <v>44229</v>
      </c>
      <c r="C941" s="2" t="s">
        <v>5798</v>
      </c>
      <c r="D941" t="s">
        <v>6145</v>
      </c>
      <c r="E941" s="2">
        <v>6</v>
      </c>
      <c r="F941" t="str">
        <f>_xlfn.XLOOKUP(C941, customers!$A$2:$A$1001, customers!$B$2:$B$1001, , 0, 1)</f>
        <v>Willy Pummery</v>
      </c>
      <c r="G941" s="2" t="str">
        <f>IF(_xlfn.XLOOKUP(C941,customers!$A$2:$A$1001,customers!$C$2:$C$1001,,0,1)=0,"",_xlfn.XLOOKUP(C941,customers!$A$2:$A$1001,customers!$C$2:$C$1001,,0,1))</f>
        <v>wpummeryq3@topsy.com</v>
      </c>
      <c r="H941" s="2" t="str">
        <f>_xlfn.XLOOKUP(C941, customers!$A$2:$A$1001, customers!$G$2:$G$1001, , 0, 1)</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Large</v>
      </c>
      <c r="P941" t="str">
        <f>_xlfn.XLOOKUP(Orders[[#This Row],[Customer ID]],customers!$A$1:$A$1001,customers!$I$1:$I$1001,"",0)</f>
        <v>No</v>
      </c>
    </row>
    <row r="942" spans="1:16" x14ac:dyDescent="0.3">
      <c r="A942" s="2" t="s">
        <v>5803</v>
      </c>
      <c r="B942" s="3">
        <v>44332</v>
      </c>
      <c r="C942" s="2" t="s">
        <v>5804</v>
      </c>
      <c r="D942" t="s">
        <v>6173</v>
      </c>
      <c r="E942" s="2">
        <v>2</v>
      </c>
      <c r="F942" t="str">
        <f>_xlfn.XLOOKUP(C942, customers!$A$2:$A$1001, customers!$B$2:$B$1001, , 0, 1)</f>
        <v>Geoffrey Siuda</v>
      </c>
      <c r="G942" s="2" t="str">
        <f>IF(_xlfn.XLOOKUP(C942,customers!$A$2:$A$1001,customers!$C$2:$C$1001,,0,1)=0,"",_xlfn.XLOOKUP(C942,customers!$A$2:$A$1001,customers!$C$2:$C$1001,,0,1))</f>
        <v>gsiudaq4@nytimes.com</v>
      </c>
      <c r="H942" s="2" t="str">
        <f>_xlfn.XLOOKUP(C942, customers!$A$2:$A$1001, customers!$G$2:$G$1001, , 0, 1)</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Large</v>
      </c>
      <c r="P942" t="str">
        <f>_xlfn.XLOOKUP(Orders[[#This Row],[Customer ID]],customers!$A$1:$A$1001,customers!$I$1:$I$1001,"",0)</f>
        <v>Yes</v>
      </c>
    </row>
    <row r="943" spans="1:16" x14ac:dyDescent="0.3">
      <c r="A943" s="2" t="s">
        <v>5809</v>
      </c>
      <c r="B943" s="3">
        <v>44674</v>
      </c>
      <c r="C943" s="2" t="s">
        <v>5810</v>
      </c>
      <c r="D943" t="s">
        <v>6180</v>
      </c>
      <c r="E943" s="2">
        <v>2</v>
      </c>
      <c r="F943" t="str">
        <f>_xlfn.XLOOKUP(C943, customers!$A$2:$A$1001, customers!$B$2:$B$1001, , 0, 1)</f>
        <v>Henderson Crowne</v>
      </c>
      <c r="G943" s="2" t="str">
        <f>IF(_xlfn.XLOOKUP(C943,customers!$A$2:$A$1001,customers!$C$2:$C$1001,,0,1)=0,"",_xlfn.XLOOKUP(C943,customers!$A$2:$A$1001,customers!$C$2:$C$1001,,0,1))</f>
        <v>hcrowneq5@wufoo.com</v>
      </c>
      <c r="H943" s="2" t="str">
        <f>_xlfn.XLOOKUP(C943, customers!$A$2:$A$1001, customers!$G$2:$G$1001, , 0, 1)</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Large</v>
      </c>
      <c r="P943" t="str">
        <f>_xlfn.XLOOKUP(Orders[[#This Row],[Customer ID]],customers!$A$1:$A$1001,customers!$I$1:$I$1001,"",0)</f>
        <v>Yes</v>
      </c>
    </row>
    <row r="944" spans="1:16" x14ac:dyDescent="0.3">
      <c r="A944" s="2" t="s">
        <v>5816</v>
      </c>
      <c r="B944" s="3">
        <v>44464</v>
      </c>
      <c r="C944" s="2" t="s">
        <v>5817</v>
      </c>
      <c r="D944" t="s">
        <v>6179</v>
      </c>
      <c r="E944" s="2">
        <v>3</v>
      </c>
      <c r="F944" t="str">
        <f>_xlfn.XLOOKUP(C944, customers!$A$2:$A$1001, customers!$B$2:$B$1001, , 0, 1)</f>
        <v>Vernor Pawsey</v>
      </c>
      <c r="G944" s="2" t="str">
        <f>IF(_xlfn.XLOOKUP(C944,customers!$A$2:$A$1001,customers!$C$2:$C$1001,,0,1)=0,"",_xlfn.XLOOKUP(C944,customers!$A$2:$A$1001,customers!$C$2:$C$1001,,0,1))</f>
        <v>vpawseyq6@tiny.cc</v>
      </c>
      <c r="H944" s="2" t="str">
        <f>_xlfn.XLOOKUP(C944, customers!$A$2:$A$1001, customers!$G$2:$G$1001, , 0, 1)</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Large</v>
      </c>
      <c r="P944" t="str">
        <f>_xlfn.XLOOKUP(Orders[[#This Row],[Customer ID]],customers!$A$1:$A$1001,customers!$I$1:$I$1001,"",0)</f>
        <v>No</v>
      </c>
    </row>
    <row r="945" spans="1:16" x14ac:dyDescent="0.3">
      <c r="A945" s="2" t="s">
        <v>5822</v>
      </c>
      <c r="B945" s="3">
        <v>44719</v>
      </c>
      <c r="C945" s="2" t="s">
        <v>5823</v>
      </c>
      <c r="D945" t="s">
        <v>6180</v>
      </c>
      <c r="E945" s="2">
        <v>6</v>
      </c>
      <c r="F945" t="str">
        <f>_xlfn.XLOOKUP(C945, customers!$A$2:$A$1001, customers!$B$2:$B$1001, , 0, 1)</f>
        <v>Augustin Waterhouse</v>
      </c>
      <c r="G945" s="2" t="str">
        <f>IF(_xlfn.XLOOKUP(C945,customers!$A$2:$A$1001,customers!$C$2:$C$1001,,0,1)=0,"",_xlfn.XLOOKUP(C945,customers!$A$2:$A$1001,customers!$C$2:$C$1001,,0,1))</f>
        <v>awaterhouseq7@istockphoto.com</v>
      </c>
      <c r="H945" s="2" t="str">
        <f>_xlfn.XLOOKUP(C945, customers!$A$2:$A$1001, customers!$G$2:$G$1001, , 0, 1)</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Large</v>
      </c>
      <c r="P945" t="str">
        <f>_xlfn.XLOOKUP(Orders[[#This Row],[Customer ID]],customers!$A$1:$A$1001,customers!$I$1:$I$1001,"",0)</f>
        <v>No</v>
      </c>
    </row>
    <row r="946" spans="1:16" x14ac:dyDescent="0.3">
      <c r="A946" s="2" t="s">
        <v>5828</v>
      </c>
      <c r="B946" s="3">
        <v>44054</v>
      </c>
      <c r="C946" s="2" t="s">
        <v>5829</v>
      </c>
      <c r="D946" t="s">
        <v>6173</v>
      </c>
      <c r="E946" s="2">
        <v>5</v>
      </c>
      <c r="F946" t="str">
        <f>_xlfn.XLOOKUP(C946, customers!$A$2:$A$1001, customers!$B$2:$B$1001, , 0, 1)</f>
        <v>Fanchon Haughian</v>
      </c>
      <c r="G946" s="2" t="str">
        <f>IF(_xlfn.XLOOKUP(C946,customers!$A$2:$A$1001,customers!$C$2:$C$1001,,0,1)=0,"",_xlfn.XLOOKUP(C946,customers!$A$2:$A$1001,customers!$C$2:$C$1001,,0,1))</f>
        <v>fhaughianq8@1688.com</v>
      </c>
      <c r="H946" s="2" t="str">
        <f>_xlfn.XLOOKUP(C946, customers!$A$2:$A$1001, customers!$G$2:$G$1001, , 0, 1)</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Large</v>
      </c>
      <c r="P946" t="str">
        <f>_xlfn.XLOOKUP(Orders[[#This Row],[Customer ID]],customers!$A$1:$A$1001,customers!$I$1:$I$1001,"",0)</f>
        <v>No</v>
      </c>
    </row>
    <row r="947" spans="1:16" x14ac:dyDescent="0.3">
      <c r="A947" s="2" t="s">
        <v>5834</v>
      </c>
      <c r="B947" s="3">
        <v>43524</v>
      </c>
      <c r="C947" s="2" t="s">
        <v>5835</v>
      </c>
      <c r="D947" t="s">
        <v>6165</v>
      </c>
      <c r="E947" s="2">
        <v>4</v>
      </c>
      <c r="F947" t="str">
        <f>_xlfn.XLOOKUP(C947, customers!$A$2:$A$1001, customers!$B$2:$B$1001, , 0, 1)</f>
        <v>Jaimie Hatz</v>
      </c>
      <c r="G947" s="2" t="str">
        <f>IF(_xlfn.XLOOKUP(C947,customers!$A$2:$A$1001,customers!$C$2:$C$1001,,0,1)=0,"",_xlfn.XLOOKUP(C947,customers!$A$2:$A$1001,customers!$C$2:$C$1001,,0,1))</f>
        <v/>
      </c>
      <c r="H947" s="2" t="str">
        <f>_xlfn.XLOOKUP(C947, customers!$A$2:$A$1001, customers!$G$2:$G$1001, , 0, 1)</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t="str">
        <f>_xlfn.XLOOKUP(C948, customers!$A$2:$A$1001, customers!$B$2:$B$1001, , 0, 1)</f>
        <v>Edeline Edney</v>
      </c>
      <c r="G948" s="2" t="str">
        <f>IF(_xlfn.XLOOKUP(C948,customers!$A$2:$A$1001,customers!$C$2:$C$1001,,0,1)=0,"",_xlfn.XLOOKUP(C948,customers!$A$2:$A$1001,customers!$C$2:$C$1001,,0,1))</f>
        <v/>
      </c>
      <c r="H948" s="2" t="str">
        <f>_xlfn.XLOOKUP(C948, customers!$A$2:$A$1001, customers!$G$2:$G$1001, , 0, 1)</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t="str">
        <f>_xlfn.XLOOKUP(C949, customers!$A$2:$A$1001, customers!$B$2:$B$1001, , 0, 1)</f>
        <v>Rickie Faltin</v>
      </c>
      <c r="G949" s="2" t="str">
        <f>IF(_xlfn.XLOOKUP(C949,customers!$A$2:$A$1001,customers!$C$2:$C$1001,,0,1)=0,"",_xlfn.XLOOKUP(C949,customers!$A$2:$A$1001,customers!$C$2:$C$1001,,0,1))</f>
        <v>rfaltinqb@topsy.com</v>
      </c>
      <c r="H949" s="2" t="str">
        <f>_xlfn.XLOOKUP(C949, customers!$A$2:$A$1001, customers!$G$2:$G$1001, , 0, 1)</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t="str">
        <f>_xlfn.XLOOKUP(C950, customers!$A$2:$A$1001, customers!$B$2:$B$1001, , 0, 1)</f>
        <v>Gnni Cheeke</v>
      </c>
      <c r="G950" s="2" t="str">
        <f>IF(_xlfn.XLOOKUP(C950,customers!$A$2:$A$1001,customers!$C$2:$C$1001,,0,1)=0,"",_xlfn.XLOOKUP(C950,customers!$A$2:$A$1001,customers!$C$2:$C$1001,,0,1))</f>
        <v>gcheekeqc@sitemeter.com</v>
      </c>
      <c r="H950" s="2" t="str">
        <f>_xlfn.XLOOKUP(C950, customers!$A$2:$A$1001, customers!$G$2:$G$1001, , 0, 1)</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t="str">
        <f>_xlfn.XLOOKUP(C951, customers!$A$2:$A$1001, customers!$B$2:$B$1001, , 0, 1)</f>
        <v>Gwenni Ratt</v>
      </c>
      <c r="G951" s="2" t="str">
        <f>IF(_xlfn.XLOOKUP(C951,customers!$A$2:$A$1001,customers!$C$2:$C$1001,,0,1)=0,"",_xlfn.XLOOKUP(C951,customers!$A$2:$A$1001,customers!$C$2:$C$1001,,0,1))</f>
        <v>grattqd@phpbb.com</v>
      </c>
      <c r="H951" s="2" t="str">
        <f>_xlfn.XLOOKUP(C951, customers!$A$2:$A$1001, customers!$G$2:$G$1001, , 0, 1)</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Large</v>
      </c>
      <c r="P951" t="str">
        <f>_xlfn.XLOOKUP(Orders[[#This Row],[Customer ID]],customers!$A$1:$A$1001,customers!$I$1:$I$1001,"",0)</f>
        <v>No</v>
      </c>
    </row>
    <row r="952" spans="1:16" x14ac:dyDescent="0.3">
      <c r="A952" s="2" t="s">
        <v>5861</v>
      </c>
      <c r="B952" s="3">
        <v>44703</v>
      </c>
      <c r="C952" s="2" t="s">
        <v>5862</v>
      </c>
      <c r="D952" t="s">
        <v>6178</v>
      </c>
      <c r="E952" s="2">
        <v>4</v>
      </c>
      <c r="F952" t="str">
        <f>_xlfn.XLOOKUP(C952, customers!$A$2:$A$1001, customers!$B$2:$B$1001, , 0, 1)</f>
        <v>Johnath Fairebrother</v>
      </c>
      <c r="G952" s="2" t="str">
        <f>IF(_xlfn.XLOOKUP(C952,customers!$A$2:$A$1001,customers!$C$2:$C$1001,,0,1)=0,"",_xlfn.XLOOKUP(C952,customers!$A$2:$A$1001,customers!$C$2:$C$1001,,0,1))</f>
        <v/>
      </c>
      <c r="H952" s="2" t="str">
        <f>_xlfn.XLOOKUP(C952, customers!$A$2:$A$1001, customers!$G$2:$G$1001, , 0, 1)</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Large</v>
      </c>
      <c r="P952" t="str">
        <f>_xlfn.XLOOKUP(Orders[[#This Row],[Customer ID]],customers!$A$1:$A$1001,customers!$I$1:$I$1001,"",0)</f>
        <v>Yes</v>
      </c>
    </row>
    <row r="953" spans="1:16" x14ac:dyDescent="0.3">
      <c r="A953" s="2" t="s">
        <v>5866</v>
      </c>
      <c r="B953" s="3">
        <v>44092</v>
      </c>
      <c r="C953" s="2" t="s">
        <v>5867</v>
      </c>
      <c r="D953" t="s">
        <v>6178</v>
      </c>
      <c r="E953" s="2">
        <v>6</v>
      </c>
      <c r="F953" t="str">
        <f>_xlfn.XLOOKUP(C953, customers!$A$2:$A$1001, customers!$B$2:$B$1001, , 0, 1)</f>
        <v>Ingamar Eberlein</v>
      </c>
      <c r="G953" s="2" t="str">
        <f>IF(_xlfn.XLOOKUP(C953,customers!$A$2:$A$1001,customers!$C$2:$C$1001,,0,1)=0,"",_xlfn.XLOOKUP(C953,customers!$A$2:$A$1001,customers!$C$2:$C$1001,,0,1))</f>
        <v>ieberleinqf@hc360.com</v>
      </c>
      <c r="H953" s="2" t="str">
        <f>_xlfn.XLOOKUP(C953, customers!$A$2:$A$1001, customers!$G$2:$G$1001, , 0, 1)</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Large</v>
      </c>
      <c r="P953" t="str">
        <f>_xlfn.XLOOKUP(Orders[[#This Row],[Customer ID]],customers!$A$1:$A$1001,customers!$I$1:$I$1001,"",0)</f>
        <v>No</v>
      </c>
    </row>
    <row r="954" spans="1:16" x14ac:dyDescent="0.3">
      <c r="A954" s="2" t="s">
        <v>5872</v>
      </c>
      <c r="B954" s="3">
        <v>44439</v>
      </c>
      <c r="C954" s="2" t="s">
        <v>5873</v>
      </c>
      <c r="D954" t="s">
        <v>6155</v>
      </c>
      <c r="E954" s="2">
        <v>2</v>
      </c>
      <c r="F954" t="str">
        <f>_xlfn.XLOOKUP(C954, customers!$A$2:$A$1001, customers!$B$2:$B$1001, , 0, 1)</f>
        <v>Jilly Dreng</v>
      </c>
      <c r="G954" s="2" t="str">
        <f>IF(_xlfn.XLOOKUP(C954,customers!$A$2:$A$1001,customers!$C$2:$C$1001,,0,1)=0,"",_xlfn.XLOOKUP(C954,customers!$A$2:$A$1001,customers!$C$2:$C$1001,,0,1))</f>
        <v>jdrengqg@uiuc.edu</v>
      </c>
      <c r="H954" s="2" t="str">
        <f>_xlfn.XLOOKUP(C954, customers!$A$2:$A$1001, customers!$G$2:$G$1001, , 0, 1)</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t="str">
        <f>_xlfn.XLOOKUP(C955, customers!$A$2:$A$1001, customers!$B$2:$B$1001, , 0, 1)</f>
        <v>Brenn Dundredge</v>
      </c>
      <c r="G955" s="2" t="str">
        <f>IF(_xlfn.XLOOKUP(C955,customers!$A$2:$A$1001,customers!$C$2:$C$1001,,0,1)=0,"",_xlfn.XLOOKUP(C955,customers!$A$2:$A$1001,customers!$C$2:$C$1001,,0,1))</f>
        <v/>
      </c>
      <c r="H955" s="2" t="str">
        <f>_xlfn.XLOOKUP(C955, customers!$A$2:$A$1001, customers!$G$2:$G$1001, , 0, 1)</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Large</v>
      </c>
      <c r="P955" t="str">
        <f>_xlfn.XLOOKUP(Orders[[#This Row],[Customer ID]],customers!$A$1:$A$1001,customers!$I$1:$I$1001,"",0)</f>
        <v>Yes</v>
      </c>
    </row>
    <row r="956" spans="1:16" x14ac:dyDescent="0.3">
      <c r="A956" s="2" t="s">
        <v>5884</v>
      </c>
      <c r="B956" s="3">
        <v>44722</v>
      </c>
      <c r="C956" s="2" t="s">
        <v>5764</v>
      </c>
      <c r="D956" t="s">
        <v>6185</v>
      </c>
      <c r="E956" s="2">
        <v>1</v>
      </c>
      <c r="F956" t="str">
        <f>_xlfn.XLOOKUP(C956, customers!$A$2:$A$1001, customers!$B$2:$B$1001, , 0, 1)</f>
        <v>Brenn Dundredge</v>
      </c>
      <c r="G956" s="2" t="str">
        <f>IF(_xlfn.XLOOKUP(C956,customers!$A$2:$A$1001,customers!$C$2:$C$1001,,0,1)=0,"",_xlfn.XLOOKUP(C956,customers!$A$2:$A$1001,customers!$C$2:$C$1001,,0,1))</f>
        <v/>
      </c>
      <c r="H956" s="2" t="str">
        <f>_xlfn.XLOOKUP(C956, customers!$A$2:$A$1001, customers!$G$2:$G$1001, , 0, 1)</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t="str">
        <f>_xlfn.XLOOKUP(C957, customers!$A$2:$A$1001, customers!$B$2:$B$1001, , 0, 1)</f>
        <v>Brenn Dundredge</v>
      </c>
      <c r="G957" s="2" t="str">
        <f>IF(_xlfn.XLOOKUP(C957,customers!$A$2:$A$1001,customers!$C$2:$C$1001,,0,1)=0,"",_xlfn.XLOOKUP(C957,customers!$A$2:$A$1001,customers!$C$2:$C$1001,,0,1))</f>
        <v/>
      </c>
      <c r="H957" s="2" t="str">
        <f>_xlfn.XLOOKUP(C957, customers!$A$2:$A$1001, customers!$G$2:$G$1001, , 0, 1)</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Large</v>
      </c>
      <c r="P957" t="str">
        <f>_xlfn.XLOOKUP(Orders[[#This Row],[Customer ID]],customers!$A$1:$A$1001,customers!$I$1:$I$1001,"",0)</f>
        <v>Yes</v>
      </c>
    </row>
    <row r="958" spans="1:16" x14ac:dyDescent="0.3">
      <c r="A958" s="2" t="s">
        <v>5890</v>
      </c>
      <c r="B958" s="3">
        <v>43582</v>
      </c>
      <c r="C958" s="2" t="s">
        <v>5764</v>
      </c>
      <c r="D958" t="s">
        <v>6142</v>
      </c>
      <c r="E958" s="2">
        <v>2</v>
      </c>
      <c r="F958" t="str">
        <f>_xlfn.XLOOKUP(C958, customers!$A$2:$A$1001, customers!$B$2:$B$1001, , 0, 1)</f>
        <v>Brenn Dundredge</v>
      </c>
      <c r="G958" s="2" t="str">
        <f>IF(_xlfn.XLOOKUP(C958,customers!$A$2:$A$1001,customers!$C$2:$C$1001,,0,1)=0,"",_xlfn.XLOOKUP(C958,customers!$A$2:$A$1001,customers!$C$2:$C$1001,,0,1))</f>
        <v/>
      </c>
      <c r="H958" s="2" t="str">
        <f>_xlfn.XLOOKUP(C958, customers!$A$2:$A$1001, customers!$G$2:$G$1001, , 0, 1)</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Large</v>
      </c>
      <c r="P958" t="str">
        <f>_xlfn.XLOOKUP(Orders[[#This Row],[Customer ID]],customers!$A$1:$A$1001,customers!$I$1:$I$1001,"",0)</f>
        <v>Yes</v>
      </c>
    </row>
    <row r="959" spans="1:16" x14ac:dyDescent="0.3">
      <c r="A959" s="2" t="s">
        <v>5890</v>
      </c>
      <c r="B959" s="3">
        <v>43582</v>
      </c>
      <c r="C959" s="2" t="s">
        <v>5764</v>
      </c>
      <c r="D959" t="s">
        <v>6171</v>
      </c>
      <c r="E959" s="2">
        <v>1</v>
      </c>
      <c r="F959" t="str">
        <f>_xlfn.XLOOKUP(C959, customers!$A$2:$A$1001, customers!$B$2:$B$1001, , 0, 1)</f>
        <v>Brenn Dundredge</v>
      </c>
      <c r="G959" s="2" t="str">
        <f>IF(_xlfn.XLOOKUP(C959,customers!$A$2:$A$1001,customers!$C$2:$C$1001,,0,1)=0,"",_xlfn.XLOOKUP(C959,customers!$A$2:$A$1001,customers!$C$2:$C$1001,,0,1))</f>
        <v/>
      </c>
      <c r="H959" s="2" t="str">
        <f>_xlfn.XLOOKUP(C959, customers!$A$2:$A$1001, customers!$G$2:$G$1001, , 0, 1)</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Large</v>
      </c>
      <c r="P959" t="str">
        <f>_xlfn.XLOOKUP(Orders[[#This Row],[Customer ID]],customers!$A$1:$A$1001,customers!$I$1:$I$1001,"",0)</f>
        <v>Yes</v>
      </c>
    </row>
    <row r="960" spans="1:16" x14ac:dyDescent="0.3">
      <c r="A960" s="2" t="s">
        <v>5890</v>
      </c>
      <c r="B960" s="3">
        <v>43582</v>
      </c>
      <c r="C960" s="2" t="s">
        <v>5764</v>
      </c>
      <c r="D960" t="s">
        <v>6167</v>
      </c>
      <c r="E960" s="2">
        <v>2</v>
      </c>
      <c r="F960" t="str">
        <f>_xlfn.XLOOKUP(C960, customers!$A$2:$A$1001, customers!$B$2:$B$1001, , 0, 1)</f>
        <v>Brenn Dundredge</v>
      </c>
      <c r="G960" s="2" t="str">
        <f>IF(_xlfn.XLOOKUP(C960,customers!$A$2:$A$1001,customers!$C$2:$C$1001,,0,1)=0,"",_xlfn.XLOOKUP(C960,customers!$A$2:$A$1001,customers!$C$2:$C$1001,,0,1))</f>
        <v/>
      </c>
      <c r="H960" s="2" t="str">
        <f>_xlfn.XLOOKUP(C960, customers!$A$2:$A$1001, customers!$G$2:$G$1001, , 0, 1)</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Large</v>
      </c>
      <c r="P960" t="str">
        <f>_xlfn.XLOOKUP(Orders[[#This Row],[Customer ID]],customers!$A$1:$A$1001,customers!$I$1:$I$1001,"",0)</f>
        <v>Yes</v>
      </c>
    </row>
    <row r="961" spans="1:16" x14ac:dyDescent="0.3">
      <c r="A961" s="2" t="s">
        <v>5910</v>
      </c>
      <c r="B961" s="3">
        <v>44598</v>
      </c>
      <c r="C961" s="2" t="s">
        <v>5911</v>
      </c>
      <c r="D961" t="s">
        <v>6145</v>
      </c>
      <c r="E961" s="2">
        <v>5</v>
      </c>
      <c r="F961" t="str">
        <f>_xlfn.XLOOKUP(C961, customers!$A$2:$A$1001, customers!$B$2:$B$1001, , 0, 1)</f>
        <v>Rhodie Strathern</v>
      </c>
      <c r="G961" s="2" t="str">
        <f>IF(_xlfn.XLOOKUP(C961,customers!$A$2:$A$1001,customers!$C$2:$C$1001,,0,1)=0,"",_xlfn.XLOOKUP(C961,customers!$A$2:$A$1001,customers!$C$2:$C$1001,,0,1))</f>
        <v>rstrathernqn@devhub.com</v>
      </c>
      <c r="H961" s="2" t="str">
        <f>_xlfn.XLOOKUP(C961, customers!$A$2:$A$1001, customers!$G$2:$G$1001, , 0, 1)</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Large</v>
      </c>
      <c r="P961" t="str">
        <f>_xlfn.XLOOKUP(Orders[[#This Row],[Customer ID]],customers!$A$1:$A$1001,customers!$I$1:$I$1001,"",0)</f>
        <v>Yes</v>
      </c>
    </row>
    <row r="962" spans="1:16" x14ac:dyDescent="0.3">
      <c r="A962" s="2" t="s">
        <v>5915</v>
      </c>
      <c r="B962" s="3">
        <v>44591</v>
      </c>
      <c r="C962" s="2" t="s">
        <v>5916</v>
      </c>
      <c r="D962" t="s">
        <v>6170</v>
      </c>
      <c r="E962" s="2">
        <v>5</v>
      </c>
      <c r="F962" t="str">
        <f>_xlfn.XLOOKUP(C962, customers!$A$2:$A$1001, customers!$B$2:$B$1001, , 0, 1)</f>
        <v>Chad Miguel</v>
      </c>
      <c r="G962" s="2" t="str">
        <f>IF(_xlfn.XLOOKUP(C962,customers!$A$2:$A$1001,customers!$C$2:$C$1001,,0,1)=0,"",_xlfn.XLOOKUP(C962,customers!$A$2:$A$1001,customers!$C$2:$C$1001,,0,1))</f>
        <v>cmiguelqo@exblog.jp</v>
      </c>
      <c r="H962" s="2" t="str">
        <f>_xlfn.XLOOKUP(C962, customers!$A$2:$A$1001, customers!$G$2:$G$1001, , 0, 1)</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Large</v>
      </c>
      <c r="P962" t="str">
        <f>_xlfn.XLOOKUP(Orders[[#This Row],[Customer ID]],customers!$A$1:$A$1001,customers!$I$1:$I$1001,"",0)</f>
        <v>Yes</v>
      </c>
    </row>
    <row r="963" spans="1:16" x14ac:dyDescent="0.3">
      <c r="A963" s="2" t="s">
        <v>5921</v>
      </c>
      <c r="B963" s="3">
        <v>44158</v>
      </c>
      <c r="C963" s="2" t="s">
        <v>5922</v>
      </c>
      <c r="D963" t="s">
        <v>6168</v>
      </c>
      <c r="E963" s="2">
        <v>2</v>
      </c>
      <c r="F963" t="str">
        <f>_xlfn.XLOOKUP(C963, customers!$A$2:$A$1001, customers!$B$2:$B$1001, , 0, 1)</f>
        <v>Florinda Matusovsky</v>
      </c>
      <c r="G963" s="2" t="str">
        <f>IF(_xlfn.XLOOKUP(C963,customers!$A$2:$A$1001,customers!$C$2:$C$1001,,0,1)=0,"",_xlfn.XLOOKUP(C963,customers!$A$2:$A$1001,customers!$C$2:$C$1001,,0,1))</f>
        <v/>
      </c>
      <c r="H963" s="2" t="str">
        <f>_xlfn.XLOOKUP(C963, customers!$A$2:$A$1001, customers!$G$2:$G$1001, , 0, 1)</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IF(J963="M","Medium",IF(J963="L","Large",IF(J963="D","Dark","")))</f>
        <v>Dark</v>
      </c>
      <c r="P963" t="str">
        <f>_xlfn.XLOOKUP(Orders[[#This Row],[Customer ID]],customers!$A$1:$A$1001,customers!$I$1:$I$1001,"",0)</f>
        <v>Yes</v>
      </c>
    </row>
    <row r="964" spans="1:16" x14ac:dyDescent="0.3">
      <c r="A964" s="2" t="s">
        <v>5926</v>
      </c>
      <c r="B964" s="3">
        <v>44664</v>
      </c>
      <c r="C964" s="2" t="s">
        <v>5927</v>
      </c>
      <c r="D964" t="s">
        <v>6177</v>
      </c>
      <c r="E964" s="2">
        <v>1</v>
      </c>
      <c r="F964" t="str">
        <f>_xlfn.XLOOKUP(C964, customers!$A$2:$A$1001, customers!$B$2:$B$1001, , 0, 1)</f>
        <v>Morly Rocks</v>
      </c>
      <c r="G964" s="2" t="str">
        <f>IF(_xlfn.XLOOKUP(C964,customers!$A$2:$A$1001,customers!$C$2:$C$1001,,0,1)=0,"",_xlfn.XLOOKUP(C964,customers!$A$2:$A$1001,customers!$C$2:$C$1001,,0,1))</f>
        <v>mrocksqq@exblog.jp</v>
      </c>
      <c r="H964" s="2" t="str">
        <f>_xlfn.XLOOKUP(C964, customers!$A$2:$A$1001, customers!$G$2:$G$1001, , 0, 1)</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t="str">
        <f>_xlfn.XLOOKUP(C965, customers!$A$2:$A$1001, customers!$B$2:$B$1001, , 0, 1)</f>
        <v>Yuri Burrells</v>
      </c>
      <c r="G965" s="2" t="str">
        <f>IF(_xlfn.XLOOKUP(C965,customers!$A$2:$A$1001,customers!$C$2:$C$1001,,0,1)=0,"",_xlfn.XLOOKUP(C965,customers!$A$2:$A$1001,customers!$C$2:$C$1001,,0,1))</f>
        <v>yburrellsqr@vinaora.com</v>
      </c>
      <c r="H965" s="2" t="str">
        <f>_xlfn.XLOOKUP(C965, customers!$A$2:$A$1001, customers!$G$2:$G$1001, , 0, 1)</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t="str">
        <f>_xlfn.XLOOKUP(C966, customers!$A$2:$A$1001, customers!$B$2:$B$1001, , 0, 1)</f>
        <v>Cleopatra Goodrum</v>
      </c>
      <c r="G966" s="2" t="str">
        <f>IF(_xlfn.XLOOKUP(C966,customers!$A$2:$A$1001,customers!$C$2:$C$1001,,0,1)=0,"",_xlfn.XLOOKUP(C966,customers!$A$2:$A$1001,customers!$C$2:$C$1001,,0,1))</f>
        <v>cgoodrumqs@goodreads.com</v>
      </c>
      <c r="H966" s="2" t="str">
        <f>_xlfn.XLOOKUP(C966, customers!$A$2:$A$1001, customers!$G$2:$G$1001, , 0, 1)</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Large</v>
      </c>
      <c r="P966" t="str">
        <f>_xlfn.XLOOKUP(Orders[[#This Row],[Customer ID]],customers!$A$1:$A$1001,customers!$I$1:$I$1001,"",0)</f>
        <v>No</v>
      </c>
    </row>
    <row r="967" spans="1:16" x14ac:dyDescent="0.3">
      <c r="A967" s="2" t="s">
        <v>5944</v>
      </c>
      <c r="B967" s="3">
        <v>43724</v>
      </c>
      <c r="C967" s="2" t="s">
        <v>5945</v>
      </c>
      <c r="D967" t="s">
        <v>6138</v>
      </c>
      <c r="E967" s="2">
        <v>3</v>
      </c>
      <c r="F967" t="str">
        <f>_xlfn.XLOOKUP(C967, customers!$A$2:$A$1001, customers!$B$2:$B$1001, , 0, 1)</f>
        <v>Joey Jefferys</v>
      </c>
      <c r="G967" s="2" t="str">
        <f>IF(_xlfn.XLOOKUP(C967,customers!$A$2:$A$1001,customers!$C$2:$C$1001,,0,1)=0,"",_xlfn.XLOOKUP(C967,customers!$A$2:$A$1001,customers!$C$2:$C$1001,,0,1))</f>
        <v>jjefferysqt@blog.com</v>
      </c>
      <c r="H967" s="2" t="str">
        <f>_xlfn.XLOOKUP(C967, customers!$A$2:$A$1001, customers!$G$2:$G$1001, , 0, 1)</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t="str">
        <f>_xlfn.XLOOKUP(C968, customers!$A$2:$A$1001, customers!$B$2:$B$1001, , 0, 1)</f>
        <v>Bearnard Wardell</v>
      </c>
      <c r="G968" s="2" t="str">
        <f>IF(_xlfn.XLOOKUP(C968,customers!$A$2:$A$1001,customers!$C$2:$C$1001,,0,1)=0,"",_xlfn.XLOOKUP(C968,customers!$A$2:$A$1001,customers!$C$2:$C$1001,,0,1))</f>
        <v>bwardellqu@adobe.com</v>
      </c>
      <c r="H968" s="2" t="str">
        <f>_xlfn.XLOOKUP(C968, customers!$A$2:$A$1001, customers!$G$2:$G$1001, , 0, 1)</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Large</v>
      </c>
      <c r="P968" t="str">
        <f>_xlfn.XLOOKUP(Orders[[#This Row],[Customer ID]],customers!$A$1:$A$1001,customers!$I$1:$I$1001,"",0)</f>
        <v>Yes</v>
      </c>
    </row>
    <row r="969" spans="1:16" x14ac:dyDescent="0.3">
      <c r="A969" s="2" t="s">
        <v>5955</v>
      </c>
      <c r="B969" s="3">
        <v>44246</v>
      </c>
      <c r="C969" s="2" t="s">
        <v>5956</v>
      </c>
      <c r="D969" t="s">
        <v>6163</v>
      </c>
      <c r="E969" s="2">
        <v>1</v>
      </c>
      <c r="F969" t="str">
        <f>_xlfn.XLOOKUP(C969, customers!$A$2:$A$1001, customers!$B$2:$B$1001, , 0, 1)</f>
        <v>Zeke Walisiak</v>
      </c>
      <c r="G969" s="2" t="str">
        <f>IF(_xlfn.XLOOKUP(C969,customers!$A$2:$A$1001,customers!$C$2:$C$1001,,0,1)=0,"",_xlfn.XLOOKUP(C969,customers!$A$2:$A$1001,customers!$C$2:$C$1001,,0,1))</f>
        <v>zwalisiakqv@ucsd.edu</v>
      </c>
      <c r="H969" s="2" t="str">
        <f>_xlfn.XLOOKUP(C969, customers!$A$2:$A$1001, customers!$G$2:$G$1001, , 0, 1)</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t="str">
        <f>_xlfn.XLOOKUP(C970, customers!$A$2:$A$1001, customers!$B$2:$B$1001, , 0, 1)</f>
        <v>Wiley Leopold</v>
      </c>
      <c r="G970" s="2" t="str">
        <f>IF(_xlfn.XLOOKUP(C970,customers!$A$2:$A$1001,customers!$C$2:$C$1001,,0,1)=0,"",_xlfn.XLOOKUP(C970,customers!$A$2:$A$1001,customers!$C$2:$C$1001,,0,1))</f>
        <v>wleopoldqw@blogspot.com</v>
      </c>
      <c r="H970" s="2" t="str">
        <f>_xlfn.XLOOKUP(C970, customers!$A$2:$A$1001, customers!$G$2:$G$1001, , 0, 1)</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t="str">
        <f>_xlfn.XLOOKUP(C971, customers!$A$2:$A$1001, customers!$B$2:$B$1001, , 0, 1)</f>
        <v>Chiarra Shalders</v>
      </c>
      <c r="G971" s="2" t="str">
        <f>IF(_xlfn.XLOOKUP(C971,customers!$A$2:$A$1001,customers!$C$2:$C$1001,,0,1)=0,"",_xlfn.XLOOKUP(C971,customers!$A$2:$A$1001,customers!$C$2:$C$1001,,0,1))</f>
        <v>cshaldersqx@cisco.com</v>
      </c>
      <c r="H971" s="2" t="str">
        <f>_xlfn.XLOOKUP(C971, customers!$A$2:$A$1001, customers!$G$2:$G$1001, , 0, 1)</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t="str">
        <f>_xlfn.XLOOKUP(C972, customers!$A$2:$A$1001, customers!$B$2:$B$1001, , 0, 1)</f>
        <v>Sharl Southerill</v>
      </c>
      <c r="G972" s="2" t="str">
        <f>IF(_xlfn.XLOOKUP(C972,customers!$A$2:$A$1001,customers!$C$2:$C$1001,,0,1)=0,"",_xlfn.XLOOKUP(C972,customers!$A$2:$A$1001,customers!$C$2:$C$1001,,0,1))</f>
        <v/>
      </c>
      <c r="H972" s="2" t="str">
        <f>_xlfn.XLOOKUP(C972, customers!$A$2:$A$1001, customers!$G$2:$G$1001, , 0, 1)</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t="str">
        <f>_xlfn.XLOOKUP(C973, customers!$A$2:$A$1001, customers!$B$2:$B$1001, , 0, 1)</f>
        <v>Noni Furber</v>
      </c>
      <c r="G973" s="2" t="str">
        <f>IF(_xlfn.XLOOKUP(C973,customers!$A$2:$A$1001,customers!$C$2:$C$1001,,0,1)=0,"",_xlfn.XLOOKUP(C973,customers!$A$2:$A$1001,customers!$C$2:$C$1001,,0,1))</f>
        <v>nfurberqz@jugem.jp</v>
      </c>
      <c r="H973" s="2" t="str">
        <f>_xlfn.XLOOKUP(C973, customers!$A$2:$A$1001, customers!$G$2:$G$1001, , 0, 1)</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Large</v>
      </c>
      <c r="P973" t="str">
        <f>_xlfn.XLOOKUP(Orders[[#This Row],[Customer ID]],customers!$A$1:$A$1001,customers!$I$1:$I$1001,"",0)</f>
        <v>No</v>
      </c>
    </row>
    <row r="974" spans="1:16" x14ac:dyDescent="0.3">
      <c r="A974" s="2" t="s">
        <v>5984</v>
      </c>
      <c r="B974" s="3">
        <v>44411</v>
      </c>
      <c r="C974" s="2" t="s">
        <v>5985</v>
      </c>
      <c r="D974" t="s">
        <v>6182</v>
      </c>
      <c r="E974" s="2">
        <v>3</v>
      </c>
      <c r="F974" t="str">
        <f>_xlfn.XLOOKUP(C974, customers!$A$2:$A$1001, customers!$B$2:$B$1001, , 0, 1)</f>
        <v>Dinah Crutcher</v>
      </c>
      <c r="G974" s="2" t="str">
        <f>IF(_xlfn.XLOOKUP(C974,customers!$A$2:$A$1001,customers!$C$2:$C$1001,,0,1)=0,"",_xlfn.XLOOKUP(C974,customers!$A$2:$A$1001,customers!$C$2:$C$1001,,0,1))</f>
        <v/>
      </c>
      <c r="H974" s="2" t="str">
        <f>_xlfn.XLOOKUP(C974, customers!$A$2:$A$1001, customers!$G$2:$G$1001, , 0, 1)</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Large</v>
      </c>
      <c r="P974" t="str">
        <f>_xlfn.XLOOKUP(Orders[[#This Row],[Customer ID]],customers!$A$1:$A$1001,customers!$I$1:$I$1001,"",0)</f>
        <v>Yes</v>
      </c>
    </row>
    <row r="975" spans="1:16" x14ac:dyDescent="0.3">
      <c r="A975" s="2" t="s">
        <v>5989</v>
      </c>
      <c r="B975" s="3">
        <v>44493</v>
      </c>
      <c r="C975" s="2" t="s">
        <v>5990</v>
      </c>
      <c r="D975" t="s">
        <v>6162</v>
      </c>
      <c r="E975" s="2">
        <v>6</v>
      </c>
      <c r="F975" t="str">
        <f>_xlfn.XLOOKUP(C975, customers!$A$2:$A$1001, customers!$B$2:$B$1001, , 0, 1)</f>
        <v>Charlean Keave</v>
      </c>
      <c r="G975" s="2" t="str">
        <f>IF(_xlfn.XLOOKUP(C975,customers!$A$2:$A$1001,customers!$C$2:$C$1001,,0,1)=0,"",_xlfn.XLOOKUP(C975,customers!$A$2:$A$1001,customers!$C$2:$C$1001,,0,1))</f>
        <v>ckeaver1@ucoz.com</v>
      </c>
      <c r="H975" s="2" t="str">
        <f>_xlfn.XLOOKUP(C975, customers!$A$2:$A$1001, customers!$G$2:$G$1001, , 0, 1)</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t="str">
        <f>_xlfn.XLOOKUP(C976, customers!$A$2:$A$1001, customers!$B$2:$B$1001, , 0, 1)</f>
        <v>Sada Roseborough</v>
      </c>
      <c r="G976" s="2" t="str">
        <f>IF(_xlfn.XLOOKUP(C976,customers!$A$2:$A$1001,customers!$C$2:$C$1001,,0,1)=0,"",_xlfn.XLOOKUP(C976,customers!$A$2:$A$1001,customers!$C$2:$C$1001,,0,1))</f>
        <v>sroseboroughr2@virginia.edu</v>
      </c>
      <c r="H976" s="2" t="str">
        <f>_xlfn.XLOOKUP(C976, customers!$A$2:$A$1001, customers!$G$2:$G$1001, , 0, 1)</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t="str">
        <f>_xlfn.XLOOKUP(C977, customers!$A$2:$A$1001, customers!$B$2:$B$1001, , 0, 1)</f>
        <v>Clayton Kingwell</v>
      </c>
      <c r="G977" s="2" t="str">
        <f>IF(_xlfn.XLOOKUP(C977,customers!$A$2:$A$1001,customers!$C$2:$C$1001,,0,1)=0,"",_xlfn.XLOOKUP(C977,customers!$A$2:$A$1001,customers!$C$2:$C$1001,,0,1))</f>
        <v>ckingwellr3@squarespace.com</v>
      </c>
      <c r="H977" s="2" t="str">
        <f>_xlfn.XLOOKUP(C977, customers!$A$2:$A$1001, customers!$G$2:$G$1001, , 0, 1)</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t="str">
        <f>_xlfn.XLOOKUP(C978, customers!$A$2:$A$1001, customers!$B$2:$B$1001, , 0, 1)</f>
        <v>Kacy Canto</v>
      </c>
      <c r="G978" s="2" t="str">
        <f>IF(_xlfn.XLOOKUP(C978,customers!$A$2:$A$1001,customers!$C$2:$C$1001,,0,1)=0,"",_xlfn.XLOOKUP(C978,customers!$A$2:$A$1001,customers!$C$2:$C$1001,,0,1))</f>
        <v>kcantor4@gmpg.org</v>
      </c>
      <c r="H978" s="2" t="str">
        <f>_xlfn.XLOOKUP(C978, customers!$A$2:$A$1001, customers!$G$2:$G$1001, , 0, 1)</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Large</v>
      </c>
      <c r="P978" t="str">
        <f>_xlfn.XLOOKUP(Orders[[#This Row],[Customer ID]],customers!$A$1:$A$1001,customers!$I$1:$I$1001,"",0)</f>
        <v>Yes</v>
      </c>
    </row>
    <row r="979" spans="1:16" x14ac:dyDescent="0.3">
      <c r="A979" s="2" t="s">
        <v>6013</v>
      </c>
      <c r="B979" s="3">
        <v>44026</v>
      </c>
      <c r="C979" s="2" t="s">
        <v>6014</v>
      </c>
      <c r="D979" t="s">
        <v>6179</v>
      </c>
      <c r="E979" s="2">
        <v>5</v>
      </c>
      <c r="F979" t="str">
        <f>_xlfn.XLOOKUP(C979, customers!$A$2:$A$1001, customers!$B$2:$B$1001, , 0, 1)</f>
        <v>Mab Blakemore</v>
      </c>
      <c r="G979" s="2" t="str">
        <f>IF(_xlfn.XLOOKUP(C979,customers!$A$2:$A$1001,customers!$C$2:$C$1001,,0,1)=0,"",_xlfn.XLOOKUP(C979,customers!$A$2:$A$1001,customers!$C$2:$C$1001,,0,1))</f>
        <v>mblakemorer5@nsw.gov.au</v>
      </c>
      <c r="H979" s="2" t="str">
        <f>_xlfn.XLOOKUP(C979, customers!$A$2:$A$1001, customers!$G$2:$G$1001, , 0, 1)</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Large</v>
      </c>
      <c r="P979" t="str">
        <f>_xlfn.XLOOKUP(Orders[[#This Row],[Customer ID]],customers!$A$1:$A$1001,customers!$I$1:$I$1001,"",0)</f>
        <v>No</v>
      </c>
    </row>
    <row r="980" spans="1:16" x14ac:dyDescent="0.3">
      <c r="A980" s="2" t="s">
        <v>6019</v>
      </c>
      <c r="B980" s="3">
        <v>43913</v>
      </c>
      <c r="C980" s="2" t="s">
        <v>5990</v>
      </c>
      <c r="D980" t="s">
        <v>6180</v>
      </c>
      <c r="E980" s="2">
        <v>3</v>
      </c>
      <c r="F980" t="str">
        <f>_xlfn.XLOOKUP(C980, customers!$A$2:$A$1001, customers!$B$2:$B$1001, , 0, 1)</f>
        <v>Charlean Keave</v>
      </c>
      <c r="G980" s="2" t="str">
        <f>IF(_xlfn.XLOOKUP(C980,customers!$A$2:$A$1001,customers!$C$2:$C$1001,,0,1)=0,"",_xlfn.XLOOKUP(C980,customers!$A$2:$A$1001,customers!$C$2:$C$1001,,0,1))</f>
        <v>ckeaver1@ucoz.com</v>
      </c>
      <c r="H980" s="2" t="str">
        <f>_xlfn.XLOOKUP(C980, customers!$A$2:$A$1001, customers!$G$2:$G$1001, , 0, 1)</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Large</v>
      </c>
      <c r="P980" t="str">
        <f>_xlfn.XLOOKUP(Orders[[#This Row],[Customer ID]],customers!$A$1:$A$1001,customers!$I$1:$I$1001,"",0)</f>
        <v>No</v>
      </c>
    </row>
    <row r="981" spans="1:16" x14ac:dyDescent="0.3">
      <c r="A981" s="2" t="s">
        <v>6025</v>
      </c>
      <c r="B981" s="3">
        <v>43856</v>
      </c>
      <c r="C981" s="2" t="s">
        <v>6026</v>
      </c>
      <c r="D981" t="s">
        <v>6172</v>
      </c>
      <c r="E981" s="2">
        <v>2</v>
      </c>
      <c r="F981" t="str">
        <f>_xlfn.XLOOKUP(C981, customers!$A$2:$A$1001, customers!$B$2:$B$1001, , 0, 1)</f>
        <v>Javier Causnett</v>
      </c>
      <c r="G981" s="2" t="str">
        <f>IF(_xlfn.XLOOKUP(C981,customers!$A$2:$A$1001,customers!$C$2:$C$1001,,0,1)=0,"",_xlfn.XLOOKUP(C981,customers!$A$2:$A$1001,customers!$C$2:$C$1001,,0,1))</f>
        <v/>
      </c>
      <c r="H981" s="2" t="str">
        <f>_xlfn.XLOOKUP(C981, customers!$A$2:$A$1001, customers!$G$2:$G$1001, , 0, 1)</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t="str">
        <f>_xlfn.XLOOKUP(C982, customers!$A$2:$A$1001, customers!$B$2:$B$1001, , 0, 1)</f>
        <v>Demetris Micheli</v>
      </c>
      <c r="G982" s="2" t="str">
        <f>IF(_xlfn.XLOOKUP(C982,customers!$A$2:$A$1001,customers!$C$2:$C$1001,,0,1)=0,"",_xlfn.XLOOKUP(C982,customers!$A$2:$A$1001,customers!$C$2:$C$1001,,0,1))</f>
        <v/>
      </c>
      <c r="H982" s="2" t="str">
        <f>_xlfn.XLOOKUP(C982, customers!$A$2:$A$1001, customers!$G$2:$G$1001, , 0, 1)</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t="str">
        <f>_xlfn.XLOOKUP(C983, customers!$A$2:$A$1001, customers!$B$2:$B$1001, , 0, 1)</f>
        <v>Chloette Bernardot</v>
      </c>
      <c r="G983" s="2" t="str">
        <f>IF(_xlfn.XLOOKUP(C983,customers!$A$2:$A$1001,customers!$C$2:$C$1001,,0,1)=0,"",_xlfn.XLOOKUP(C983,customers!$A$2:$A$1001,customers!$C$2:$C$1001,,0,1))</f>
        <v>cbernardotr9@wix.com</v>
      </c>
      <c r="H983" s="2" t="str">
        <f>_xlfn.XLOOKUP(C983, customers!$A$2:$A$1001, customers!$G$2:$G$1001, , 0, 1)</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t="str">
        <f>_xlfn.XLOOKUP(C984, customers!$A$2:$A$1001, customers!$B$2:$B$1001, , 0, 1)</f>
        <v>Kim Kemery</v>
      </c>
      <c r="G984" s="2" t="str">
        <f>IF(_xlfn.XLOOKUP(C984,customers!$A$2:$A$1001,customers!$C$2:$C$1001,,0,1)=0,"",_xlfn.XLOOKUP(C984,customers!$A$2:$A$1001,customers!$C$2:$C$1001,,0,1))</f>
        <v>kkemeryra@t.co</v>
      </c>
      <c r="H984" s="2" t="str">
        <f>_xlfn.XLOOKUP(C984, customers!$A$2:$A$1001, customers!$G$2:$G$1001, , 0, 1)</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Large</v>
      </c>
      <c r="P984" t="str">
        <f>_xlfn.XLOOKUP(Orders[[#This Row],[Customer ID]],customers!$A$1:$A$1001,customers!$I$1:$I$1001,"",0)</f>
        <v>Yes</v>
      </c>
    </row>
    <row r="985" spans="1:16" x14ac:dyDescent="0.3">
      <c r="A985" s="2" t="s">
        <v>6047</v>
      </c>
      <c r="B985" s="3">
        <v>43831</v>
      </c>
      <c r="C985" s="2" t="s">
        <v>6048</v>
      </c>
      <c r="D985" t="s">
        <v>6152</v>
      </c>
      <c r="E985" s="2">
        <v>2</v>
      </c>
      <c r="F985" t="str">
        <f>_xlfn.XLOOKUP(C985, customers!$A$2:$A$1001, customers!$B$2:$B$1001, , 0, 1)</f>
        <v>Fanchette Parlot</v>
      </c>
      <c r="G985" s="2" t="str">
        <f>IF(_xlfn.XLOOKUP(C985,customers!$A$2:$A$1001,customers!$C$2:$C$1001,,0,1)=0,"",_xlfn.XLOOKUP(C985,customers!$A$2:$A$1001,customers!$C$2:$C$1001,,0,1))</f>
        <v>fparlotrb@forbes.com</v>
      </c>
      <c r="H985" s="2" t="str">
        <f>_xlfn.XLOOKUP(C985, customers!$A$2:$A$1001, customers!$G$2:$G$1001, , 0, 1)</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t="str">
        <f>_xlfn.XLOOKUP(C986, customers!$A$2:$A$1001, customers!$B$2:$B$1001, , 0, 1)</f>
        <v>Ramon Cheak</v>
      </c>
      <c r="G986" s="2" t="str">
        <f>IF(_xlfn.XLOOKUP(C986,customers!$A$2:$A$1001,customers!$C$2:$C$1001,,0,1)=0,"",_xlfn.XLOOKUP(C986,customers!$A$2:$A$1001,customers!$C$2:$C$1001,,0,1))</f>
        <v>rcheakrc@tripadvisor.com</v>
      </c>
      <c r="H986" s="2" t="str">
        <f>_xlfn.XLOOKUP(C986, customers!$A$2:$A$1001, customers!$G$2:$G$1001, , 0, 1)</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t="str">
        <f>_xlfn.XLOOKUP(C987, customers!$A$2:$A$1001, customers!$B$2:$B$1001, , 0, 1)</f>
        <v>Koressa O'Geneay</v>
      </c>
      <c r="G987" s="2" t="str">
        <f>IF(_xlfn.XLOOKUP(C987,customers!$A$2:$A$1001,customers!$C$2:$C$1001,,0,1)=0,"",_xlfn.XLOOKUP(C987,customers!$A$2:$A$1001,customers!$C$2:$C$1001,,0,1))</f>
        <v>kogeneayrd@utexas.edu</v>
      </c>
      <c r="H987" s="2" t="str">
        <f>_xlfn.XLOOKUP(C987, customers!$A$2:$A$1001, customers!$G$2:$G$1001, , 0, 1)</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Large</v>
      </c>
      <c r="P987" t="str">
        <f>_xlfn.XLOOKUP(Orders[[#This Row],[Customer ID]],customers!$A$1:$A$1001,customers!$I$1:$I$1001,"",0)</f>
        <v>No</v>
      </c>
    </row>
    <row r="988" spans="1:16" x14ac:dyDescent="0.3">
      <c r="A988" s="2" t="s">
        <v>6064</v>
      </c>
      <c r="B988" s="3">
        <v>43955</v>
      </c>
      <c r="C988" s="2" t="s">
        <v>6065</v>
      </c>
      <c r="D988" t="s">
        <v>6181</v>
      </c>
      <c r="E988" s="2">
        <v>1</v>
      </c>
      <c r="F988" t="str">
        <f>_xlfn.XLOOKUP(C988, customers!$A$2:$A$1001, customers!$B$2:$B$1001, , 0, 1)</f>
        <v>Claudell Ayre</v>
      </c>
      <c r="G988" s="2" t="str">
        <f>IF(_xlfn.XLOOKUP(C988,customers!$A$2:$A$1001,customers!$C$2:$C$1001,,0,1)=0,"",_xlfn.XLOOKUP(C988,customers!$A$2:$A$1001,customers!$C$2:$C$1001,,0,1))</f>
        <v>cayrere@symantec.com</v>
      </c>
      <c r="H988" s="2" t="str">
        <f>_xlfn.XLOOKUP(C988, customers!$A$2:$A$1001, customers!$G$2:$G$1001, , 0, 1)</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t="str">
        <f>_xlfn.XLOOKUP(C989, customers!$A$2:$A$1001, customers!$B$2:$B$1001, , 0, 1)</f>
        <v>Lorianne Kyneton</v>
      </c>
      <c r="G989" s="2" t="str">
        <f>IF(_xlfn.XLOOKUP(C989,customers!$A$2:$A$1001,customers!$C$2:$C$1001,,0,1)=0,"",_xlfn.XLOOKUP(C989,customers!$A$2:$A$1001,customers!$C$2:$C$1001,,0,1))</f>
        <v>lkynetonrf@macromedia.com</v>
      </c>
      <c r="H989" s="2" t="str">
        <f>_xlfn.XLOOKUP(C989, customers!$A$2:$A$1001, customers!$G$2:$G$1001, , 0, 1)</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t="str">
        <f>_xlfn.XLOOKUP(C990, customers!$A$2:$A$1001, customers!$B$2:$B$1001, , 0, 1)</f>
        <v>Adele McFayden</v>
      </c>
      <c r="G990" s="2" t="str">
        <f>IF(_xlfn.XLOOKUP(C990,customers!$A$2:$A$1001,customers!$C$2:$C$1001,,0,1)=0,"",_xlfn.XLOOKUP(C990,customers!$A$2:$A$1001,customers!$C$2:$C$1001,,0,1))</f>
        <v/>
      </c>
      <c r="H990" s="2" t="str">
        <f>_xlfn.XLOOKUP(C990, customers!$A$2:$A$1001, customers!$G$2:$G$1001, , 0, 1)</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t="str">
        <f>_xlfn.XLOOKUP(C991, customers!$A$2:$A$1001, customers!$B$2:$B$1001, , 0, 1)</f>
        <v>Herta Layne</v>
      </c>
      <c r="G991" s="2" t="str">
        <f>IF(_xlfn.XLOOKUP(C991,customers!$A$2:$A$1001,customers!$C$2:$C$1001,,0,1)=0,"",_xlfn.XLOOKUP(C991,customers!$A$2:$A$1001,customers!$C$2:$C$1001,,0,1))</f>
        <v/>
      </c>
      <c r="H991" s="2" t="str">
        <f>_xlfn.XLOOKUP(C991, customers!$A$2:$A$1001, customers!$G$2:$G$1001, , 0, 1)</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t="str">
        <f>_xlfn.XLOOKUP(C992, customers!$A$2:$A$1001, customers!$B$2:$B$1001, , 0, 1)</f>
        <v>Marguerite Graves</v>
      </c>
      <c r="G992" s="2" t="str">
        <f>IF(_xlfn.XLOOKUP(C992,customers!$A$2:$A$1001,customers!$C$2:$C$1001,,0,1)=0,"",_xlfn.XLOOKUP(C992,customers!$A$2:$A$1001,customers!$C$2:$C$1001,,0,1))</f>
        <v/>
      </c>
      <c r="H992" s="2" t="str">
        <f>_xlfn.XLOOKUP(C992, customers!$A$2:$A$1001, customers!$G$2:$G$1001, , 0, 1)</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t="str">
        <f>_xlfn.XLOOKUP(C993, customers!$A$2:$A$1001, customers!$B$2:$B$1001, , 0, 1)</f>
        <v>Marguerite Graves</v>
      </c>
      <c r="G993" s="2" t="str">
        <f>IF(_xlfn.XLOOKUP(C993,customers!$A$2:$A$1001,customers!$C$2:$C$1001,,0,1)=0,"",_xlfn.XLOOKUP(C993,customers!$A$2:$A$1001,customers!$C$2:$C$1001,,0,1))</f>
        <v/>
      </c>
      <c r="H993" s="2" t="str">
        <f>_xlfn.XLOOKUP(C993, customers!$A$2:$A$1001, customers!$G$2:$G$1001, , 0, 1)</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t="str">
        <f>_xlfn.XLOOKUP(C994, customers!$A$2:$A$1001, customers!$B$2:$B$1001, , 0, 1)</f>
        <v>Desdemona Eye</v>
      </c>
      <c r="G994" s="2" t="str">
        <f>IF(_xlfn.XLOOKUP(C994,customers!$A$2:$A$1001,customers!$C$2:$C$1001,,0,1)=0,"",_xlfn.XLOOKUP(C994,customers!$A$2:$A$1001,customers!$C$2:$C$1001,,0,1))</f>
        <v/>
      </c>
      <c r="H994" s="2" t="str">
        <f>_xlfn.XLOOKUP(C994, customers!$A$2:$A$1001, customers!$G$2:$G$1001, , 0, 1)</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Large</v>
      </c>
      <c r="P994" t="str">
        <f>_xlfn.XLOOKUP(Orders[[#This Row],[Customer ID]],customers!$A$1:$A$1001,customers!$I$1:$I$1001,"",0)</f>
        <v>No</v>
      </c>
    </row>
    <row r="995" spans="1:16" x14ac:dyDescent="0.3">
      <c r="A995" s="2" t="s">
        <v>6101</v>
      </c>
      <c r="B995" s="3">
        <v>44549</v>
      </c>
      <c r="C995" s="2" t="s">
        <v>6102</v>
      </c>
      <c r="D995" t="s">
        <v>6140</v>
      </c>
      <c r="E995" s="2">
        <v>6</v>
      </c>
      <c r="F995" t="str">
        <f>_xlfn.XLOOKUP(C995, customers!$A$2:$A$1001, customers!$B$2:$B$1001, , 0, 1)</f>
        <v>Margarette Sterland</v>
      </c>
      <c r="G995" s="2" t="str">
        <f>IF(_xlfn.XLOOKUP(C995,customers!$A$2:$A$1001,customers!$C$2:$C$1001,,0,1)=0,"",_xlfn.XLOOKUP(C995,customers!$A$2:$A$1001,customers!$C$2:$C$1001,,0,1))</f>
        <v/>
      </c>
      <c r="H995" s="2" t="str">
        <f>_xlfn.XLOOKUP(C995, customers!$A$2:$A$1001, customers!$G$2:$G$1001, , 0, 1)</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Large</v>
      </c>
      <c r="P995" t="str">
        <f>_xlfn.XLOOKUP(Orders[[#This Row],[Customer ID]],customers!$A$1:$A$1001,customers!$I$1:$I$1001,"",0)</f>
        <v>No</v>
      </c>
    </row>
    <row r="996" spans="1:16" x14ac:dyDescent="0.3">
      <c r="A996" s="2" t="s">
        <v>6106</v>
      </c>
      <c r="B996" s="3">
        <v>44244</v>
      </c>
      <c r="C996" s="2" t="s">
        <v>6107</v>
      </c>
      <c r="D996" t="s">
        <v>6154</v>
      </c>
      <c r="E996" s="2">
        <v>3</v>
      </c>
      <c r="F996" t="str">
        <f>_xlfn.XLOOKUP(C996, customers!$A$2:$A$1001, customers!$B$2:$B$1001, , 0, 1)</f>
        <v>Catharine Scoines</v>
      </c>
      <c r="G996" s="2" t="str">
        <f>IF(_xlfn.XLOOKUP(C996,customers!$A$2:$A$1001,customers!$C$2:$C$1001,,0,1)=0,"",_xlfn.XLOOKUP(C996,customers!$A$2:$A$1001,customers!$C$2:$C$1001,,0,1))</f>
        <v/>
      </c>
      <c r="H996" s="2" t="str">
        <f>_xlfn.XLOOKUP(C996, customers!$A$2:$A$1001, customers!$G$2:$G$1001, , 0, 1)</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t="str">
        <f>_xlfn.XLOOKUP(C997, customers!$A$2:$A$1001, customers!$B$2:$B$1001, , 0, 1)</f>
        <v>Jennica Tewelson</v>
      </c>
      <c r="G997" s="2" t="str">
        <f>IF(_xlfn.XLOOKUP(C997,customers!$A$2:$A$1001,customers!$C$2:$C$1001,,0,1)=0,"",_xlfn.XLOOKUP(C997,customers!$A$2:$A$1001,customers!$C$2:$C$1001,,0,1))</f>
        <v>jtewelsonrn@samsung.com</v>
      </c>
      <c r="H997" s="2" t="str">
        <f>_xlfn.XLOOKUP(C997, customers!$A$2:$A$1001, customers!$G$2:$G$1001, , 0, 1)</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Large</v>
      </c>
      <c r="P997" t="str">
        <f>_xlfn.XLOOKUP(Orders[[#This Row],[Customer ID]],customers!$A$1:$A$1001,customers!$I$1:$I$1001,"",0)</f>
        <v>No</v>
      </c>
    </row>
    <row r="998" spans="1:16" x14ac:dyDescent="0.3">
      <c r="A998" s="2" t="s">
        <v>6117</v>
      </c>
      <c r="B998" s="3">
        <v>44685</v>
      </c>
      <c r="C998" s="2" t="s">
        <v>6118</v>
      </c>
      <c r="D998" t="s">
        <v>6146</v>
      </c>
      <c r="E998" s="2">
        <v>5</v>
      </c>
      <c r="F998" t="str">
        <f>_xlfn.XLOOKUP(C998, customers!$A$2:$A$1001, customers!$B$2:$B$1001, , 0, 1)</f>
        <v>Marguerite Graves</v>
      </c>
      <c r="G998" s="2" t="str">
        <f>IF(_xlfn.XLOOKUP(C998,customers!$A$2:$A$1001,customers!$C$2:$C$1001,,0,1)=0,"",_xlfn.XLOOKUP(C998,customers!$A$2:$A$1001,customers!$C$2:$C$1001,,0,1))</f>
        <v/>
      </c>
      <c r="H998" s="2" t="str">
        <f>_xlfn.XLOOKUP(C998, customers!$A$2:$A$1001, customers!$G$2:$G$1001, , 0, 1)</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t="str">
        <f>_xlfn.XLOOKUP(C999, customers!$A$2:$A$1001, customers!$B$2:$B$1001, , 0, 1)</f>
        <v>Marguerite Graves</v>
      </c>
      <c r="G999" s="2" t="str">
        <f>IF(_xlfn.XLOOKUP(C999,customers!$A$2:$A$1001,customers!$C$2:$C$1001,,0,1)=0,"",_xlfn.XLOOKUP(C999,customers!$A$2:$A$1001,customers!$C$2:$C$1001,,0,1))</f>
        <v/>
      </c>
      <c r="H999" s="2" t="str">
        <f>_xlfn.XLOOKUP(C999, customers!$A$2:$A$1001, customers!$G$2:$G$1001, , 0, 1)</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t="str">
        <f>_xlfn.XLOOKUP(C1000, customers!$A$2:$A$1001, customers!$B$2:$B$1001, , 0, 1)</f>
        <v>Nicolina Jenny</v>
      </c>
      <c r="G1000" s="2" t="str">
        <f>IF(_xlfn.XLOOKUP(C1000,customers!$A$2:$A$1001,customers!$C$2:$C$1001,,0,1)=0,"",_xlfn.XLOOKUP(C1000,customers!$A$2:$A$1001,customers!$C$2:$C$1001,,0,1))</f>
        <v>njennyrq@bigcartel.com</v>
      </c>
      <c r="H1000" s="2" t="str">
        <f>_xlfn.XLOOKUP(C1000, customers!$A$2:$A$1001, customers!$G$2:$G$1001, , 0, 1)</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t="str">
        <f>_xlfn.XLOOKUP(C1001, customers!$A$2:$A$1001, customers!$B$2:$B$1001, , 0, 1)</f>
        <v>Vidovic Antonelli</v>
      </c>
      <c r="G1001" s="2" t="str">
        <f>IF(_xlfn.XLOOKUP(C1001,customers!$A$2:$A$1001,customers!$C$2:$C$1001,,0,1)=0,"",_xlfn.XLOOKUP(C1001,customers!$A$2:$A$1001,customers!$C$2:$C$1001,,0,1))</f>
        <v/>
      </c>
      <c r="H1001" s="2" t="str">
        <f>_xlfn.XLOOKUP(C1001, customers!$A$2:$A$1001, customers!$G$2:$G$1001, , 0, 1)</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E977" workbookViewId="0">
      <selection activeCell="B1002" sqref="B100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F19" sqref="F19"/>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 min="8" max="8" width="15.6640625"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Dashboard</vt:lpstr>
      <vt:lpstr>TotalSales</vt:lpstr>
      <vt:lpstr>CountryBarChart</vt:lpstr>
      <vt:lpstr>Top 5 Customers</vt:lpstr>
      <vt:lpstr>orders</vt:lpstr>
      <vt:lpstr>customers</vt:lpstr>
      <vt:lpstr>products</vt:lpstr>
      <vt:lpstr>CountryBarChart!TotalSales</vt:lpstr>
      <vt:lpstr>'Top 5 Customers'!TotalSales</vt:lpstr>
      <vt:lpstr>TotalSales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Okocha James</dc:creator>
  <cp:keywords/>
  <dc:description/>
  <cp:lastModifiedBy>Okocha James</cp:lastModifiedBy>
  <cp:revision/>
  <dcterms:created xsi:type="dcterms:W3CDTF">2022-11-26T09:51:45Z</dcterms:created>
  <dcterms:modified xsi:type="dcterms:W3CDTF">2025-11-13T15:25:22Z</dcterms:modified>
  <cp:category/>
  <cp:contentStatus/>
</cp:coreProperties>
</file>